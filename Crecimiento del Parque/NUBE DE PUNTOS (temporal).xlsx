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a y Nube de Puntos (CABA)" sheetId="1" r:id="rId5"/>
    <sheet state="visible" name="Versión % Cargables Variable (C" sheetId="2" r:id="rId6"/>
    <sheet state="visible" name="% Vehiculos Cargables (Arg)" sheetId="3" r:id="rId7"/>
    <sheet state="hidden" name="Aprox. Logaritmicaold" sheetId="4" r:id="rId8"/>
  </sheets>
  <definedNames/>
  <calcPr/>
</workbook>
</file>

<file path=xl/sharedStrings.xml><?xml version="1.0" encoding="utf-8"?>
<sst xmlns="http://schemas.openxmlformats.org/spreadsheetml/2006/main" count="71" uniqueCount="35">
  <si>
    <t>Trimestre</t>
  </si>
  <si>
    <t>Total Autos Nuevos</t>
  </si>
  <si>
    <t>Porcentaje Eléctricos (+ Híbridos)</t>
  </si>
  <si>
    <t>Autos Eléctricos Nuevos</t>
  </si>
  <si>
    <t>Total Autos Eléctricos</t>
  </si>
  <si>
    <t>Porcentaje Cargables (BEV + PHEV)</t>
  </si>
  <si>
    <t>Total Autos Eléctricos Cargables</t>
  </si>
  <si>
    <t>Porcentaje que Carga en Estaciones</t>
  </si>
  <si>
    <t>Demanda Total</t>
  </si>
  <si>
    <t>Autos Eléctricos Cargables Nuevos</t>
  </si>
  <si>
    <t>Año</t>
  </si>
  <si>
    <t>Patentamientos en el año</t>
  </si>
  <si>
    <t>% de enchufables (modelos BEV+PHEV)</t>
  </si>
  <si>
    <t>Parque Acumulado</t>
  </si>
  <si>
    <t>Patentamientos BEV+PHEV en el año</t>
  </si>
  <si>
    <t>Parque Acumulado de BEV+PHEV</t>
  </si>
  <si>
    <t>81 (primeros registros de EV)</t>
  </si>
  <si>
    <t>PORCENTAJE DE BEV+PHEV</t>
  </si>
  <si>
    <t>2026
(hasta 1° semestre)</t>
  </si>
  <si>
    <t>x</t>
  </si>
  <si>
    <t>y</t>
  </si>
  <si>
    <t>X=ln(x)</t>
  </si>
  <si>
    <t>X²</t>
  </si>
  <si>
    <t>X.Y</t>
  </si>
  <si>
    <t>P(x)</t>
  </si>
  <si>
    <t>d</t>
  </si>
  <si>
    <t>d²</t>
  </si>
  <si>
    <t>A</t>
  </si>
  <si>
    <t>"+"</t>
  </si>
  <si>
    <t>B</t>
  </si>
  <si>
    <t>"="</t>
  </si>
  <si>
    <t>"-"</t>
  </si>
  <si>
    <t>"*"</t>
  </si>
  <si>
    <t>y=A.ln(x)+B</t>
  </si>
  <si>
    <t>y=A.X+B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</si>
</sst>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.0"/>
    <numFmt numFmtId="165" formatCode="&quot;$&quot;#,##0.00"/>
    <numFmt numFmtId="166" formatCode="&quot;$&quot;#,##0"/>
  </numFmts>
  <fonts count="10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sz val="9.0"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color rgb="FF111111"/>
      <name val="Roboto"/>
    </font>
    <font>
      <b/>
      <sz val="9.0"/>
      <color theme="1"/>
      <name val="Arial"/>
    </font>
    <font>
      <sz val="8.0"/>
      <color theme="1"/>
      <name val="Arial"/>
    </font>
    <font>
      <sz val="11.0"/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E06666"/>
        <bgColor rgb="FFE06666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CFE2F3"/>
        <bgColor rgb="FFCFE2F3"/>
      </patternFill>
    </fill>
  </fills>
  <borders count="5">
    <border/>
    <border>
      <top style="thin">
        <color rgb="FFDDDDDD"/>
      </top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wrapText="1"/>
    </xf>
    <xf borderId="0" fillId="0" fontId="1" numFmtId="0" xfId="0" applyAlignment="1" applyFont="1">
      <alignment horizontal="center" readingOrder="0" shrinkToFit="0" wrapText="1"/>
    </xf>
    <xf borderId="0" fillId="0" fontId="1" numFmtId="3" xfId="0" applyAlignment="1" applyFont="1" applyNumberFormat="1">
      <alignment horizontal="center" shrinkToFit="0" wrapText="1"/>
    </xf>
    <xf borderId="0" fillId="0" fontId="2" numFmtId="0" xfId="0" applyFont="1"/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3" xfId="0" applyAlignment="1" applyFont="1" applyNumberFormat="1">
      <alignment horizontal="right" vertical="bottom"/>
    </xf>
    <xf borderId="0" fillId="0" fontId="3" numFmtId="164" xfId="0" applyAlignment="1" applyFont="1" applyNumberFormat="1">
      <alignment horizontal="right" vertical="bottom"/>
    </xf>
    <xf borderId="0" fillId="0" fontId="3" numFmtId="2" xfId="0" applyAlignment="1" applyFont="1" applyNumberFormat="1">
      <alignment horizontal="right" readingOrder="0" vertical="bottom"/>
    </xf>
    <xf borderId="0" fillId="0" fontId="3" numFmtId="3" xfId="0" applyAlignment="1" applyFont="1" applyNumberFormat="1">
      <alignment horizontal="right" vertical="bottom"/>
    </xf>
    <xf borderId="0" fillId="0" fontId="2" numFmtId="0" xfId="0" applyAlignment="1" applyFont="1">
      <alignment horizontal="right" readingOrder="0" vertical="bottom"/>
    </xf>
    <xf borderId="1" fillId="0" fontId="2" numFmtId="165" xfId="0" applyAlignment="1" applyBorder="1" applyFont="1" applyNumberFormat="1">
      <alignment vertical="top"/>
    </xf>
    <xf borderId="0" fillId="0" fontId="2" numFmtId="3" xfId="0" applyAlignment="1" applyFont="1" applyNumberFormat="1">
      <alignment vertical="bottom"/>
    </xf>
    <xf borderId="0" fillId="0" fontId="4" numFmtId="0" xfId="0" applyAlignment="1" applyFont="1">
      <alignment horizontal="center" readingOrder="0" shrinkToFit="0" vertical="center" wrapText="1"/>
    </xf>
    <xf borderId="0" fillId="0" fontId="4" numFmtId="3" xfId="0" applyAlignment="1" applyFont="1" applyNumberFormat="1">
      <alignment horizontal="center" readingOrder="0" shrinkToFit="0" vertical="center" wrapText="1"/>
    </xf>
    <xf borderId="0" fillId="0" fontId="5" numFmtId="0" xfId="0" applyAlignment="1" applyFont="1">
      <alignment readingOrder="0"/>
    </xf>
    <xf borderId="0" fillId="0" fontId="5" numFmtId="3" xfId="0" applyAlignment="1" applyFont="1" applyNumberFormat="1">
      <alignment readingOrder="0"/>
    </xf>
    <xf borderId="0" fillId="0" fontId="5" numFmtId="3" xfId="0" applyFont="1" applyNumberFormat="1"/>
    <xf borderId="0" fillId="0" fontId="3" numFmtId="2" xfId="0" applyAlignment="1" applyFont="1" applyNumberFormat="1">
      <alignment horizontal="right" readingOrder="0" shrinkToFit="0" vertical="bottom" wrapText="0"/>
    </xf>
    <xf borderId="0" fillId="0" fontId="3" numFmtId="3" xfId="0" applyAlignment="1" applyFont="1" applyNumberFormat="1">
      <alignment horizontal="right" readingOrder="0" shrinkToFit="0" vertical="bottom" wrapText="0"/>
    </xf>
    <xf borderId="1" fillId="0" fontId="6" numFmtId="165" xfId="0" applyAlignment="1" applyBorder="1" applyFont="1" applyNumberFormat="1">
      <alignment horizontal="left" readingOrder="0" vertical="top"/>
    </xf>
    <xf borderId="0" fillId="0" fontId="7" numFmtId="164" xfId="0" applyAlignment="1" applyFont="1" applyNumberFormat="1">
      <alignment horizontal="center" vertical="bottom"/>
    </xf>
    <xf borderId="0" fillId="0" fontId="7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3" numFmtId="3" xfId="0" applyAlignment="1" applyFont="1" applyNumberFormat="1">
      <alignment readingOrder="0" shrinkToFit="0" vertical="bottom" wrapText="0"/>
    </xf>
    <xf borderId="0" fillId="0" fontId="2" numFmtId="164" xfId="0" applyAlignment="1" applyFont="1" applyNumberFormat="1">
      <alignment vertical="bottom"/>
    </xf>
    <xf borderId="2" fillId="0" fontId="7" numFmtId="164" xfId="0" applyAlignment="1" applyBorder="1" applyFont="1" applyNumberFormat="1">
      <alignment horizontal="center" vertical="bottom"/>
    </xf>
    <xf borderId="0" fillId="0" fontId="3" numFmtId="164" xfId="0" applyAlignment="1" applyFont="1" applyNumberFormat="1">
      <alignment horizontal="center" vertical="bottom"/>
    </xf>
    <xf borderId="0" fillId="0" fontId="7" numFmtId="0" xfId="0" applyAlignment="1" applyFont="1">
      <alignment horizontal="center" readingOrder="0" shrinkToFit="0" vertical="bottom" wrapText="0"/>
    </xf>
    <xf borderId="0" fillId="0" fontId="7" numFmtId="3" xfId="0" applyAlignment="1" applyFont="1" applyNumberFormat="1">
      <alignment horizontal="center" readingOrder="0" shrinkToFit="0" vertical="bottom" wrapText="0"/>
    </xf>
    <xf borderId="0" fillId="0" fontId="3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horizontal="left" readingOrder="0"/>
    </xf>
    <xf borderId="3" fillId="0" fontId="3" numFmtId="164" xfId="0" applyAlignment="1" applyBorder="1" applyFont="1" applyNumberFormat="1">
      <alignment horizontal="center" vertical="bottom"/>
    </xf>
    <xf borderId="0" fillId="0" fontId="7" numFmtId="0" xfId="0" applyAlignment="1" applyFont="1">
      <alignment horizontal="center" shrinkToFit="0" vertical="bottom" wrapText="0"/>
    </xf>
    <xf borderId="3" fillId="0" fontId="3" numFmtId="0" xfId="0" applyAlignment="1" applyBorder="1" applyFont="1">
      <alignment horizontal="center" readingOrder="0" shrinkToFit="0" vertical="bottom" wrapText="0"/>
    </xf>
    <xf borderId="3" fillId="0" fontId="3" numFmtId="0" xfId="0" applyAlignment="1" applyBorder="1" applyFont="1">
      <alignment readingOrder="0" shrinkToFit="0" vertical="bottom" wrapText="0"/>
    </xf>
    <xf borderId="3" fillId="0" fontId="7" numFmtId="0" xfId="0" applyAlignment="1" applyBorder="1" applyFont="1">
      <alignment horizontal="center" readingOrder="0" shrinkToFit="0" vertical="bottom" wrapText="0"/>
    </xf>
    <xf borderId="3" fillId="0" fontId="7" numFmtId="3" xfId="0" applyAlignment="1" applyBorder="1" applyFont="1" applyNumberFormat="1">
      <alignment horizontal="center" readingOrder="0" shrinkToFit="0" vertical="bottom" wrapText="0"/>
    </xf>
    <xf borderId="2" fillId="0" fontId="7" numFmtId="0" xfId="0" applyAlignment="1" applyBorder="1" applyFont="1">
      <alignment horizontal="center" readingOrder="0" shrinkToFit="0" vertical="bottom" wrapText="0"/>
    </xf>
    <xf borderId="2" fillId="0" fontId="7" numFmtId="3" xfId="0" applyAlignment="1" applyBorder="1" applyFont="1" applyNumberFormat="1">
      <alignment horizontal="center" readingOrder="0" shrinkToFit="0" vertical="bottom" wrapText="0"/>
    </xf>
    <xf borderId="0" fillId="2" fontId="5" numFmtId="10" xfId="0" applyAlignment="1" applyFill="1" applyFont="1" applyNumberFormat="1">
      <alignment readingOrder="0"/>
    </xf>
    <xf borderId="0" fillId="0" fontId="5" numFmtId="0" xfId="0" applyFont="1"/>
    <xf borderId="0" fillId="0" fontId="4" numFmtId="0" xfId="0" applyAlignment="1" applyFont="1">
      <alignment readingOrder="0"/>
    </xf>
    <xf borderId="0" fillId="3" fontId="5" numFmtId="0" xfId="0" applyAlignment="1" applyFill="1" applyFont="1">
      <alignment readingOrder="0"/>
    </xf>
    <xf borderId="0" fillId="3" fontId="5" numFmtId="0" xfId="0" applyFill="1" applyFont="1"/>
    <xf borderId="0" fillId="4" fontId="4" numFmtId="0" xfId="0" applyFill="1" applyFont="1"/>
    <xf borderId="0" fillId="0" fontId="4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 readingOrder="0" shrinkToFit="0" vertical="center" wrapText="0"/>
    </xf>
    <xf borderId="0" fillId="0" fontId="5" numFmtId="0" xfId="0" applyAlignment="1" applyFont="1">
      <alignment horizontal="center" readingOrder="0" shrinkToFit="0" vertical="center" wrapText="0"/>
    </xf>
    <xf borderId="4" fillId="0" fontId="8" numFmtId="166" xfId="0" applyAlignment="1" applyBorder="1" applyFont="1" applyNumberFormat="1">
      <alignment readingOrder="0" shrinkToFit="0" vertical="bottom" wrapText="0"/>
    </xf>
    <xf borderId="4" fillId="0" fontId="5" numFmtId="0" xfId="0" applyAlignment="1" applyBorder="1" applyFont="1">
      <alignment readingOrder="0" shrinkToFit="0" vertical="center" wrapText="0"/>
    </xf>
    <xf borderId="4" fillId="0" fontId="5" numFmtId="0" xfId="0" applyAlignment="1" applyBorder="1" applyFont="1">
      <alignment shrinkToFit="0" vertical="center" wrapText="0"/>
    </xf>
    <xf borderId="4" fillId="0" fontId="5" numFmtId="3" xfId="0" applyAlignment="1" applyBorder="1" applyFont="1" applyNumberFormat="1">
      <alignment shrinkToFit="0" vertical="center" wrapText="0"/>
    </xf>
    <xf borderId="0" fillId="5" fontId="5" numFmtId="0" xfId="0" applyAlignment="1" applyFill="1" applyFont="1">
      <alignment readingOrder="0"/>
    </xf>
    <xf borderId="0" fillId="6" fontId="5" numFmtId="0" xfId="0" applyAlignment="1" applyFill="1" applyFont="1">
      <alignment readingOrder="0"/>
    </xf>
    <xf borderId="0" fillId="7" fontId="5" numFmtId="0" xfId="0" applyAlignment="1" applyFill="1" applyFont="1">
      <alignment readingOrder="0"/>
    </xf>
    <xf borderId="4" fillId="0" fontId="8" numFmtId="3" xfId="0" applyAlignment="1" applyBorder="1" applyFont="1" applyNumberFormat="1">
      <alignment readingOrder="0" shrinkToFit="0" vertical="bottom" wrapText="0"/>
    </xf>
    <xf borderId="0" fillId="0" fontId="9" numFmtId="0" xfId="0" applyAlignment="1" applyFont="1">
      <alignment readingOrder="0"/>
    </xf>
    <xf borderId="0" fillId="0" fontId="5" numFmtId="10" xfId="0" applyFont="1" applyNumberFormat="1"/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CCD9D4"/>
          <bgColor rgb="FFCCD9D4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5" pivot="0" name="Aprox. Logaritmicaold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Demanda Total en el tiempo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'Tabla y Nube de Puntos (CABA)'!$I$1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'Tabla y Nube de Puntos (CABA)'!$A$2:$A$993</c:f>
            </c:numRef>
          </c:xVal>
          <c:yVal>
            <c:numRef>
              <c:f>'Tabla y Nube de Puntos (CABA)'!$I$2:$I$993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7368951"/>
        <c:axId val="1481635149"/>
      </c:scatterChart>
      <c:valAx>
        <c:axId val="897368951"/>
        <c:scaling>
          <c:orientation val="minMax"/>
          <c:max val="35.0"/>
          <c:min val="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Trimestres desde 2020 [t]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81635149"/>
      </c:valAx>
      <c:valAx>
        <c:axId val="148163514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Demanda 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9736895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Demanda Total en el tiempo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'Versión % Cargables Variable (C'!$I$1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'Versión % Cargables Variable (C'!$A$2:$A$993</c:f>
            </c:numRef>
          </c:xVal>
          <c:yVal>
            <c:numRef>
              <c:f>'Versión % Cargables Variable (C'!$I$2:$I$993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2980478"/>
        <c:axId val="1136434141"/>
      </c:scatterChart>
      <c:valAx>
        <c:axId val="1252980478"/>
        <c:scaling>
          <c:orientation val="minMax"/>
          <c:max val="35.0"/>
          <c:min val="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Trimestres desde 2020 [t]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36434141"/>
      </c:valAx>
      <c:valAx>
        <c:axId val="11364341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Demanda 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5298047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600">
                <a:solidFill>
                  <a:srgbClr val="757575"/>
                </a:solidFill>
                <a:latin typeface="+mn-lt"/>
              </a:defRPr>
            </a:pPr>
            <a:r>
              <a:rPr b="1" sz="1600">
                <a:solidFill>
                  <a:srgbClr val="757575"/>
                </a:solidFill>
                <a:latin typeface="+mn-lt"/>
              </a:rPr>
              <a:t>Pesos gastados en Marketing frente a Cantidad de Clientes Potenciales Nuevos por Marketing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v>Clientes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Línea de tendencia</c:name>
            <c:spPr>
              <a:ln w="19050">
                <a:solidFill>
                  <a:srgbClr val="4285F4">
                    <a:alpha val="40000"/>
                  </a:srgbClr>
                </a:solidFill>
              </a:ln>
            </c:spPr>
            <c:trendlineType val="exp"/>
            <c:dispRSqr val="1"/>
            <c:dispEq val="0"/>
          </c:trendline>
          <c:xVal>
            <c:numRef>
              <c:f>'Aprox. Logaritmicaold'!$A$2:$A$9</c:f>
            </c:numRef>
          </c:xVal>
          <c:yVal>
            <c:numRef>
              <c:f>'Aprox. Logaritmicaold'!$B$2:$B$9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7937555"/>
        <c:axId val="652852220"/>
      </c:scatterChart>
      <c:valAx>
        <c:axId val="937937555"/>
        <c:scaling>
          <c:orientation val="minMax"/>
          <c:max val="350000.0"/>
          <c:min val="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6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600">
                    <a:solidFill>
                      <a:srgbClr val="000000"/>
                    </a:solidFill>
                    <a:latin typeface="+mn-lt"/>
                  </a:rPr>
                  <a:t>Gastos en Marketing [$]</a:t>
                </a:r>
              </a:p>
            </c:rich>
          </c:tx>
          <c:overlay val="0"/>
        </c:title>
        <c:numFmt formatCode="$###,K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52852220"/>
      </c:valAx>
      <c:valAx>
        <c:axId val="65285222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6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600">
                    <a:solidFill>
                      <a:srgbClr val="000000"/>
                    </a:solidFill>
                    <a:latin typeface="+mn-lt"/>
                  </a:rPr>
                  <a:t>Nuevos Clientes Potenciales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3793755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942975</xdr:colOff>
      <xdr:row>0</xdr:row>
      <xdr:rowOff>228600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85725</xdr:colOff>
      <xdr:row>0</xdr:row>
      <xdr:rowOff>85725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11</xdr:row>
      <xdr:rowOff>190500</xdr:rowOff>
    </xdr:from>
    <xdr:ext cx="5715000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totalsRowCount="1" ref="A1:H10" displayName="Datos_Log" name="Datos_Log" id="1">
  <tableColumns count="8">
    <tableColumn totalsRowFunction="custom" name="x" id="1"/>
    <tableColumn totalsRowFunction="custom" name="y" id="2"/>
    <tableColumn totalsRowFunction="custom" name="X=ln(x)" id="3"/>
    <tableColumn totalsRowFunction="custom" name="X²" id="4"/>
    <tableColumn totalsRowFunction="custom" name="X.Y" id="5"/>
    <tableColumn totalsRowFunction="custom" name="P(x)" id="6"/>
    <tableColumn totalsRowFunction="custom" name="d" id="7"/>
    <tableColumn totalsRowFunction="custom" name="d²" id="8"/>
  </tableColumns>
  <tableStyleInfo name="Aprox. Logaritmicaold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1" t="s">
        <v>7</v>
      </c>
      <c r="I1" s="3" t="s">
        <v>8</v>
      </c>
      <c r="J1" s="4"/>
      <c r="K1" s="4"/>
      <c r="L1" s="5"/>
      <c r="M1" s="5"/>
      <c r="N1" s="5"/>
      <c r="O1" s="5"/>
      <c r="P1" s="5"/>
      <c r="Q1" s="5"/>
    </row>
    <row r="2">
      <c r="A2" s="6">
        <v>0.0</v>
      </c>
      <c r="B2" s="7">
        <v>12401.0</v>
      </c>
      <c r="C2" s="8">
        <v>1.81360201511335</v>
      </c>
      <c r="D2" s="7">
        <f t="shared" ref="D2:D27" si="1">B2*$C2/100</f>
        <v>224.9047859</v>
      </c>
      <c r="E2" s="7">
        <f>D2</f>
        <v>224.9047859</v>
      </c>
      <c r="F2" s="9">
        <v>18.3035778783057</v>
      </c>
      <c r="G2" s="10">
        <f t="shared" ref="G2:G27" si="2">E2*F2/100</f>
        <v>41.16562264</v>
      </c>
      <c r="H2" s="11">
        <v>29.0</v>
      </c>
      <c r="I2" s="7">
        <f t="shared" ref="I2:I27" si="3">G2*H2/100</f>
        <v>11.93803057</v>
      </c>
      <c r="J2" s="12"/>
      <c r="K2" s="5"/>
      <c r="L2" s="5"/>
      <c r="M2" s="5"/>
      <c r="N2" s="5"/>
      <c r="O2" s="5"/>
      <c r="P2" s="5"/>
      <c r="Q2" s="5"/>
    </row>
    <row r="3">
      <c r="A3" s="6">
        <f t="shared" ref="A3:A26" si="4">A2+1</f>
        <v>1</v>
      </c>
      <c r="B3" s="7">
        <v>7938.0</v>
      </c>
      <c r="C3" s="8">
        <v>2.2393145750170382</v>
      </c>
      <c r="D3" s="7">
        <f t="shared" si="1"/>
        <v>177.756791</v>
      </c>
      <c r="E3" s="7">
        <f t="shared" ref="E3:E27" si="5">D3+E2</f>
        <v>402.6615769</v>
      </c>
      <c r="F3" s="9">
        <v>18.3035778783057</v>
      </c>
      <c r="G3" s="10">
        <f t="shared" si="2"/>
        <v>73.70147531</v>
      </c>
      <c r="H3" s="11">
        <v>29.0</v>
      </c>
      <c r="I3" s="7">
        <f t="shared" si="3"/>
        <v>21.37342784</v>
      </c>
      <c r="J3" s="12"/>
      <c r="K3" s="5"/>
      <c r="L3" s="5"/>
      <c r="M3" s="5"/>
      <c r="N3" s="5"/>
      <c r="O3" s="5"/>
      <c r="P3" s="5"/>
      <c r="Q3" s="5"/>
    </row>
    <row r="4">
      <c r="A4" s="6">
        <f t="shared" si="4"/>
        <v>2</v>
      </c>
      <c r="B4" s="7">
        <v>11419.0</v>
      </c>
      <c r="C4" s="8">
        <v>2.824240864642306</v>
      </c>
      <c r="D4" s="7">
        <f t="shared" si="1"/>
        <v>322.5000643</v>
      </c>
      <c r="E4" s="7">
        <f t="shared" si="5"/>
        <v>725.1616412</v>
      </c>
      <c r="F4" s="9">
        <v>18.3035778783057</v>
      </c>
      <c r="G4" s="10">
        <f t="shared" si="2"/>
        <v>132.7305257</v>
      </c>
      <c r="H4" s="11">
        <v>29.0</v>
      </c>
      <c r="I4" s="7">
        <f t="shared" si="3"/>
        <v>38.49185246</v>
      </c>
      <c r="J4" s="12"/>
      <c r="K4" s="5"/>
      <c r="L4" s="5"/>
      <c r="M4" s="5"/>
      <c r="N4" s="5"/>
      <c r="O4" s="5"/>
      <c r="P4" s="5"/>
      <c r="Q4" s="5"/>
    </row>
    <row r="5">
      <c r="A5" s="6">
        <f t="shared" si="4"/>
        <v>3</v>
      </c>
      <c r="B5" s="7">
        <v>12538.0</v>
      </c>
      <c r="C5" s="8">
        <v>2.354287090558767</v>
      </c>
      <c r="D5" s="7">
        <f t="shared" si="1"/>
        <v>295.1805154</v>
      </c>
      <c r="E5" s="7">
        <f t="shared" si="5"/>
        <v>1020.342157</v>
      </c>
      <c r="F5" s="9">
        <v>18.3035778783057</v>
      </c>
      <c r="G5" s="10">
        <f t="shared" si="2"/>
        <v>186.7591213</v>
      </c>
      <c r="H5" s="11">
        <v>29.0</v>
      </c>
      <c r="I5" s="7">
        <f t="shared" si="3"/>
        <v>54.16014517</v>
      </c>
      <c r="J5" s="12"/>
      <c r="K5" s="5"/>
      <c r="L5" s="5"/>
      <c r="M5" s="5"/>
      <c r="N5" s="5"/>
      <c r="O5" s="5"/>
      <c r="P5" s="5"/>
      <c r="Q5" s="5"/>
    </row>
    <row r="6">
      <c r="A6" s="6">
        <f t="shared" si="4"/>
        <v>4</v>
      </c>
      <c r="B6" s="7">
        <v>15035.0</v>
      </c>
      <c r="C6" s="8">
        <v>3.87653957505275</v>
      </c>
      <c r="D6" s="7">
        <f t="shared" si="1"/>
        <v>582.8377251</v>
      </c>
      <c r="E6" s="7">
        <f t="shared" si="5"/>
        <v>1603.179882</v>
      </c>
      <c r="F6" s="9">
        <v>18.3035778783057</v>
      </c>
      <c r="G6" s="10">
        <f t="shared" si="2"/>
        <v>293.4392782</v>
      </c>
      <c r="H6" s="11">
        <v>29.0</v>
      </c>
      <c r="I6" s="7">
        <f t="shared" si="3"/>
        <v>85.09739067</v>
      </c>
      <c r="J6" s="12"/>
      <c r="K6" s="5"/>
      <c r="L6" s="5"/>
      <c r="M6" s="5"/>
      <c r="N6" s="5"/>
      <c r="O6" s="5"/>
      <c r="P6" s="5"/>
      <c r="Q6" s="5"/>
    </row>
    <row r="7">
      <c r="A7" s="6">
        <f t="shared" si="4"/>
        <v>5</v>
      </c>
      <c r="B7" s="7">
        <v>11701.0</v>
      </c>
      <c r="C7" s="8">
        <v>3.487552841709723</v>
      </c>
      <c r="D7" s="7">
        <f t="shared" si="1"/>
        <v>408.078558</v>
      </c>
      <c r="E7" s="7">
        <f t="shared" si="5"/>
        <v>2011.25844</v>
      </c>
      <c r="F7" s="9">
        <v>18.3035778783057</v>
      </c>
      <c r="G7" s="10">
        <f t="shared" si="2"/>
        <v>368.1322548</v>
      </c>
      <c r="H7" s="11">
        <v>29.0</v>
      </c>
      <c r="I7" s="7">
        <f t="shared" si="3"/>
        <v>106.7583539</v>
      </c>
      <c r="J7" s="12"/>
      <c r="K7" s="5"/>
      <c r="L7" s="5"/>
      <c r="M7" s="5"/>
      <c r="N7" s="5"/>
      <c r="O7" s="5"/>
      <c r="P7" s="5"/>
      <c r="Q7" s="5"/>
    </row>
    <row r="8">
      <c r="A8" s="6">
        <f t="shared" si="4"/>
        <v>6</v>
      </c>
      <c r="B8" s="7">
        <v>12114.0</v>
      </c>
      <c r="C8" s="8">
        <v>5.080382172893186</v>
      </c>
      <c r="D8" s="7">
        <f t="shared" si="1"/>
        <v>615.4374964</v>
      </c>
      <c r="E8" s="7">
        <f t="shared" si="5"/>
        <v>2626.695936</v>
      </c>
      <c r="F8" s="9">
        <v>18.3035778783057</v>
      </c>
      <c r="G8" s="10">
        <f t="shared" si="2"/>
        <v>480.7793363</v>
      </c>
      <c r="H8" s="11">
        <v>29.0</v>
      </c>
      <c r="I8" s="7">
        <f t="shared" si="3"/>
        <v>139.4260075</v>
      </c>
      <c r="J8" s="12"/>
      <c r="K8" s="5"/>
      <c r="L8" s="5"/>
      <c r="M8" s="5"/>
      <c r="N8" s="5"/>
      <c r="O8" s="5"/>
      <c r="P8" s="5"/>
      <c r="Q8" s="5"/>
    </row>
    <row r="9">
      <c r="A9" s="6">
        <f t="shared" si="4"/>
        <v>7</v>
      </c>
      <c r="B9" s="7">
        <v>9681.0</v>
      </c>
      <c r="C9" s="8">
        <v>4.64373627835806</v>
      </c>
      <c r="D9" s="7">
        <f t="shared" si="1"/>
        <v>449.5601091</v>
      </c>
      <c r="E9" s="7">
        <f t="shared" si="5"/>
        <v>3076.256045</v>
      </c>
      <c r="F9" s="9">
        <v>18.3035778783057</v>
      </c>
      <c r="G9" s="10">
        <f t="shared" si="2"/>
        <v>563.064921</v>
      </c>
      <c r="H9" s="11">
        <v>29.0</v>
      </c>
      <c r="I9" s="7">
        <f t="shared" si="3"/>
        <v>163.2888271</v>
      </c>
      <c r="J9" s="12"/>
      <c r="K9" s="5"/>
      <c r="L9" s="5"/>
      <c r="M9" s="5"/>
      <c r="N9" s="5"/>
      <c r="O9" s="5"/>
      <c r="P9" s="5"/>
      <c r="Q9" s="5"/>
    </row>
    <row r="10">
      <c r="A10" s="6">
        <f t="shared" si="4"/>
        <v>8</v>
      </c>
      <c r="B10" s="7">
        <v>13315.0</v>
      </c>
      <c r="C10" s="8">
        <v>3.660375396454011</v>
      </c>
      <c r="D10" s="7">
        <f t="shared" si="1"/>
        <v>487.378984</v>
      </c>
      <c r="E10" s="7">
        <f t="shared" si="5"/>
        <v>3563.635029</v>
      </c>
      <c r="F10" s="9">
        <v>18.3035778783057</v>
      </c>
      <c r="G10" s="10">
        <f t="shared" si="2"/>
        <v>652.2727129</v>
      </c>
      <c r="H10" s="11">
        <v>29.0</v>
      </c>
      <c r="I10" s="7">
        <f t="shared" si="3"/>
        <v>189.1590867</v>
      </c>
      <c r="J10" s="12"/>
      <c r="K10" s="5"/>
      <c r="L10" s="5"/>
      <c r="M10" s="5"/>
      <c r="N10" s="5"/>
      <c r="O10" s="5"/>
      <c r="P10" s="5"/>
      <c r="Q10" s="5"/>
    </row>
    <row r="11">
      <c r="A11" s="6">
        <f t="shared" si="4"/>
        <v>9</v>
      </c>
      <c r="B11" s="10">
        <v>12798.0</v>
      </c>
      <c r="C11" s="8">
        <v>5.160882616251515</v>
      </c>
      <c r="D11" s="7">
        <f t="shared" si="1"/>
        <v>660.4897572</v>
      </c>
      <c r="E11" s="7">
        <f t="shared" si="5"/>
        <v>4224.124787</v>
      </c>
      <c r="F11" s="9">
        <v>18.3035778783057</v>
      </c>
      <c r="G11" s="10">
        <f t="shared" si="2"/>
        <v>773.16597</v>
      </c>
      <c r="H11" s="11">
        <v>29.0</v>
      </c>
      <c r="I11" s="7">
        <f t="shared" si="3"/>
        <v>224.2181313</v>
      </c>
      <c r="J11" s="5"/>
      <c r="K11" s="5"/>
      <c r="L11" s="5"/>
      <c r="M11" s="5"/>
      <c r="N11" s="5"/>
      <c r="O11" s="5"/>
      <c r="P11" s="5"/>
      <c r="Q11" s="5"/>
    </row>
    <row r="12">
      <c r="A12" s="6">
        <f t="shared" si="4"/>
        <v>10</v>
      </c>
      <c r="B12" s="10">
        <v>14635.0</v>
      </c>
      <c r="C12" s="8">
        <v>5.663677130044843</v>
      </c>
      <c r="D12" s="7">
        <f t="shared" si="1"/>
        <v>828.879148</v>
      </c>
      <c r="E12" s="7">
        <f t="shared" si="5"/>
        <v>5053.003935</v>
      </c>
      <c r="F12" s="9">
        <v>18.3035778783057</v>
      </c>
      <c r="G12" s="10">
        <f t="shared" si="2"/>
        <v>924.8805103</v>
      </c>
      <c r="H12" s="11">
        <v>29.0</v>
      </c>
      <c r="I12" s="7">
        <f t="shared" si="3"/>
        <v>268.215348</v>
      </c>
      <c r="J12" s="5"/>
      <c r="K12" s="5"/>
      <c r="L12" s="5"/>
      <c r="M12" s="5"/>
      <c r="N12" s="5"/>
      <c r="O12" s="5"/>
      <c r="P12" s="5"/>
      <c r="Q12" s="5"/>
    </row>
    <row r="13">
      <c r="A13" s="6">
        <f t="shared" si="4"/>
        <v>11</v>
      </c>
      <c r="B13" s="10">
        <v>11226.0</v>
      </c>
      <c r="C13" s="8">
        <v>5.426134737565108</v>
      </c>
      <c r="D13" s="7">
        <f t="shared" si="1"/>
        <v>609.1378856</v>
      </c>
      <c r="E13" s="7">
        <f t="shared" si="5"/>
        <v>5662.14182</v>
      </c>
      <c r="F13" s="9">
        <v>18.3035778783057</v>
      </c>
      <c r="G13" s="10">
        <f t="shared" si="2"/>
        <v>1036.374538</v>
      </c>
      <c r="H13" s="11">
        <v>29.0</v>
      </c>
      <c r="I13" s="7">
        <f t="shared" si="3"/>
        <v>300.5486159</v>
      </c>
      <c r="J13" s="5"/>
      <c r="K13" s="5"/>
      <c r="L13" s="5"/>
      <c r="M13" s="5"/>
      <c r="N13" s="5"/>
      <c r="O13" s="5"/>
      <c r="P13" s="5"/>
      <c r="Q13" s="5"/>
    </row>
    <row r="14">
      <c r="A14" s="6">
        <f t="shared" si="4"/>
        <v>12</v>
      </c>
      <c r="B14" s="10">
        <v>14833.0</v>
      </c>
      <c r="C14" s="8">
        <v>4.57536963577353</v>
      </c>
      <c r="D14" s="7">
        <f t="shared" si="1"/>
        <v>678.6645781</v>
      </c>
      <c r="E14" s="7">
        <f t="shared" si="5"/>
        <v>6340.806398</v>
      </c>
      <c r="F14" s="9">
        <v>18.3035778783057</v>
      </c>
      <c r="G14" s="10">
        <f t="shared" si="2"/>
        <v>1160.594437</v>
      </c>
      <c r="H14" s="11">
        <v>29.0</v>
      </c>
      <c r="I14" s="7">
        <f t="shared" si="3"/>
        <v>336.5723868</v>
      </c>
      <c r="J14" s="5"/>
      <c r="K14" s="5"/>
      <c r="L14" s="5"/>
      <c r="M14" s="5"/>
      <c r="N14" s="5"/>
      <c r="O14" s="5"/>
      <c r="P14" s="5"/>
      <c r="Q14" s="5"/>
    </row>
    <row r="15">
      <c r="A15" s="6">
        <f t="shared" si="4"/>
        <v>13</v>
      </c>
      <c r="B15" s="10">
        <v>14490.0</v>
      </c>
      <c r="C15" s="8">
        <v>5.371810075987175</v>
      </c>
      <c r="D15" s="7">
        <f t="shared" si="1"/>
        <v>778.37528</v>
      </c>
      <c r="E15" s="7">
        <f t="shared" si="5"/>
        <v>7119.181678</v>
      </c>
      <c r="F15" s="9">
        <v>18.3035778783057</v>
      </c>
      <c r="G15" s="10">
        <f t="shared" si="2"/>
        <v>1303.064963</v>
      </c>
      <c r="H15" s="11">
        <v>29.0</v>
      </c>
      <c r="I15" s="7">
        <f t="shared" si="3"/>
        <v>377.8888392</v>
      </c>
      <c r="J15" s="5"/>
      <c r="K15" s="5"/>
      <c r="L15" s="5"/>
      <c r="M15" s="5"/>
      <c r="N15" s="5"/>
      <c r="O15" s="5"/>
      <c r="P15" s="5"/>
      <c r="Q15" s="5"/>
    </row>
    <row r="16">
      <c r="A16" s="6">
        <f t="shared" si="4"/>
        <v>14</v>
      </c>
      <c r="B16" s="10">
        <v>14118.0</v>
      </c>
      <c r="C16" s="8">
        <v>5.176221588294838</v>
      </c>
      <c r="D16" s="7">
        <f t="shared" si="1"/>
        <v>730.7789638</v>
      </c>
      <c r="E16" s="7">
        <f t="shared" si="5"/>
        <v>7849.960642</v>
      </c>
      <c r="F16" s="9">
        <v>18.3035778783057</v>
      </c>
      <c r="G16" s="10">
        <f t="shared" si="2"/>
        <v>1436.82366</v>
      </c>
      <c r="H16" s="11">
        <v>29.0</v>
      </c>
      <c r="I16" s="7">
        <f t="shared" si="3"/>
        <v>416.6788613</v>
      </c>
      <c r="J16" s="5"/>
      <c r="K16" s="5"/>
      <c r="L16" s="5"/>
      <c r="M16" s="5"/>
      <c r="N16" s="5"/>
      <c r="O16" s="5"/>
      <c r="P16" s="5"/>
      <c r="Q16" s="5"/>
    </row>
    <row r="17">
      <c r="A17" s="6">
        <f t="shared" si="4"/>
        <v>15</v>
      </c>
      <c r="B17" s="10">
        <v>12177.0</v>
      </c>
      <c r="C17" s="8">
        <v>5.819043205108399</v>
      </c>
      <c r="D17" s="7">
        <f t="shared" si="1"/>
        <v>708.5848911</v>
      </c>
      <c r="E17" s="7">
        <f t="shared" si="5"/>
        <v>8558.545533</v>
      </c>
      <c r="F17" s="9">
        <v>18.3035778783057</v>
      </c>
      <c r="G17" s="10">
        <f t="shared" si="2"/>
        <v>1566.520047</v>
      </c>
      <c r="H17" s="11">
        <v>29.0</v>
      </c>
      <c r="I17" s="7">
        <f t="shared" si="3"/>
        <v>454.2908136</v>
      </c>
      <c r="J17" s="5"/>
      <c r="K17" s="5"/>
      <c r="L17" s="5"/>
      <c r="M17" s="5"/>
      <c r="N17" s="5"/>
      <c r="O17" s="5"/>
      <c r="P17" s="5"/>
      <c r="Q17" s="5"/>
    </row>
    <row r="18">
      <c r="A18" s="6">
        <f t="shared" si="4"/>
        <v>16</v>
      </c>
      <c r="B18" s="10">
        <v>11108.0</v>
      </c>
      <c r="C18" s="8">
        <v>7.361401673640168</v>
      </c>
      <c r="D18" s="7">
        <f t="shared" si="1"/>
        <v>817.7044979</v>
      </c>
      <c r="E18" s="7">
        <f t="shared" si="5"/>
        <v>9376.250031</v>
      </c>
      <c r="F18" s="9">
        <v>18.3035778783057</v>
      </c>
      <c r="G18" s="10">
        <f t="shared" si="2"/>
        <v>1716.189226</v>
      </c>
      <c r="H18" s="11">
        <v>29.0</v>
      </c>
      <c r="I18" s="7">
        <f t="shared" si="3"/>
        <v>497.6948757</v>
      </c>
      <c r="J18" s="5"/>
      <c r="K18" s="5"/>
      <c r="L18" s="5"/>
      <c r="M18" s="5"/>
      <c r="N18" s="5"/>
      <c r="O18" s="5"/>
      <c r="P18" s="5"/>
      <c r="Q18" s="5"/>
    </row>
    <row r="19">
      <c r="A19" s="6">
        <f t="shared" si="4"/>
        <v>17</v>
      </c>
      <c r="B19" s="10">
        <v>13316.0</v>
      </c>
      <c r="C19" s="8">
        <v>9.62182603997839</v>
      </c>
      <c r="D19" s="7">
        <f t="shared" si="1"/>
        <v>1281.242355</v>
      </c>
      <c r="E19" s="7">
        <f t="shared" si="5"/>
        <v>10657.49239</v>
      </c>
      <c r="F19" s="9">
        <v>18.3035778783057</v>
      </c>
      <c r="G19" s="10">
        <f t="shared" si="2"/>
        <v>1950.702419</v>
      </c>
      <c r="H19" s="11">
        <v>29.0</v>
      </c>
      <c r="I19" s="7">
        <f t="shared" si="3"/>
        <v>565.7037015</v>
      </c>
      <c r="J19" s="5"/>
      <c r="K19" s="5"/>
      <c r="L19" s="5"/>
      <c r="M19" s="5"/>
      <c r="N19" s="5"/>
      <c r="O19" s="5"/>
      <c r="P19" s="5"/>
      <c r="Q19" s="5"/>
    </row>
    <row r="20">
      <c r="A20" s="6">
        <f t="shared" si="4"/>
        <v>18</v>
      </c>
      <c r="B20" s="10">
        <v>16198.0</v>
      </c>
      <c r="C20" s="8">
        <v>8.601106278765359</v>
      </c>
      <c r="D20" s="7">
        <f t="shared" si="1"/>
        <v>1393.207195</v>
      </c>
      <c r="E20" s="7">
        <f t="shared" si="5"/>
        <v>12050.69958</v>
      </c>
      <c r="F20" s="9">
        <v>18.3035778783057</v>
      </c>
      <c r="G20" s="10">
        <f t="shared" si="2"/>
        <v>2205.709183</v>
      </c>
      <c r="H20" s="11">
        <v>29.0</v>
      </c>
      <c r="I20" s="7">
        <f t="shared" si="3"/>
        <v>639.655663</v>
      </c>
      <c r="J20" s="5"/>
      <c r="K20" s="5"/>
      <c r="L20" s="5"/>
      <c r="M20" s="5"/>
      <c r="N20" s="5"/>
      <c r="O20" s="5"/>
      <c r="P20" s="5"/>
      <c r="Q20" s="5"/>
    </row>
    <row r="21">
      <c r="A21" s="6">
        <f t="shared" si="4"/>
        <v>19</v>
      </c>
      <c r="B21" s="10">
        <v>14286.0</v>
      </c>
      <c r="C21" s="8">
        <v>8.344640434192673</v>
      </c>
      <c r="D21" s="7">
        <f t="shared" si="1"/>
        <v>1192.115332</v>
      </c>
      <c r="E21" s="7">
        <f t="shared" si="5"/>
        <v>13242.81491</v>
      </c>
      <c r="F21" s="9">
        <v>18.3035778783057</v>
      </c>
      <c r="G21" s="10">
        <f t="shared" si="2"/>
        <v>2423.908941</v>
      </c>
      <c r="H21" s="11">
        <v>29.0</v>
      </c>
      <c r="I21" s="7">
        <f t="shared" si="3"/>
        <v>702.9335929</v>
      </c>
      <c r="J21" s="5"/>
      <c r="K21" s="5"/>
      <c r="L21" s="5"/>
      <c r="M21" s="5"/>
      <c r="N21" s="5"/>
      <c r="O21" s="5"/>
      <c r="P21" s="5"/>
      <c r="Q21" s="5"/>
    </row>
    <row r="22">
      <c r="A22" s="6">
        <f t="shared" si="4"/>
        <v>20</v>
      </c>
      <c r="B22" s="10">
        <v>21096.0</v>
      </c>
      <c r="C22" s="8">
        <v>6.810402625357281</v>
      </c>
      <c r="D22" s="7">
        <f t="shared" si="1"/>
        <v>1436.722538</v>
      </c>
      <c r="E22" s="7">
        <f t="shared" si="5"/>
        <v>14679.53745</v>
      </c>
      <c r="F22" s="9">
        <v>18.3035778783057</v>
      </c>
      <c r="G22" s="10">
        <f t="shared" si="2"/>
        <v>2686.88057</v>
      </c>
      <c r="H22" s="11">
        <v>29.0</v>
      </c>
      <c r="I22" s="7">
        <f t="shared" si="3"/>
        <v>779.1953652</v>
      </c>
      <c r="J22" s="5"/>
      <c r="K22" s="5"/>
      <c r="L22" s="5"/>
      <c r="M22" s="5"/>
      <c r="N22" s="5"/>
      <c r="O22" s="5"/>
      <c r="P22" s="5"/>
      <c r="Q22" s="5"/>
    </row>
    <row r="23">
      <c r="A23" s="6">
        <f t="shared" si="4"/>
        <v>21</v>
      </c>
      <c r="B23" s="10">
        <v>21161.0</v>
      </c>
      <c r="C23" s="8">
        <v>6.919619155487913</v>
      </c>
      <c r="D23" s="7">
        <f t="shared" si="1"/>
        <v>1464.260609</v>
      </c>
      <c r="E23" s="7">
        <f t="shared" si="5"/>
        <v>16143.79806</v>
      </c>
      <c r="F23" s="9">
        <v>18.3035778783057</v>
      </c>
      <c r="G23" s="10">
        <f t="shared" si="2"/>
        <v>2954.892651</v>
      </c>
      <c r="H23" s="11">
        <v>29.0</v>
      </c>
      <c r="I23" s="7">
        <f t="shared" si="3"/>
        <v>856.9188687</v>
      </c>
      <c r="J23" s="5"/>
      <c r="K23" s="5"/>
      <c r="L23" s="5"/>
      <c r="M23" s="5"/>
      <c r="N23" s="5"/>
      <c r="O23" s="5"/>
      <c r="P23" s="5"/>
      <c r="Q23" s="5"/>
    </row>
    <row r="24">
      <c r="A24" s="6">
        <f t="shared" si="4"/>
        <v>22</v>
      </c>
      <c r="B24" s="10">
        <v>23565.0</v>
      </c>
      <c r="C24" s="8">
        <v>9.964826330004396</v>
      </c>
      <c r="D24" s="7">
        <f t="shared" si="1"/>
        <v>2348.211325</v>
      </c>
      <c r="E24" s="7">
        <f t="shared" si="5"/>
        <v>18492.00939</v>
      </c>
      <c r="F24" s="9">
        <v>18.3035778783057</v>
      </c>
      <c r="G24" s="10">
        <f t="shared" si="2"/>
        <v>3384.699339</v>
      </c>
      <c r="H24" s="11">
        <v>29.0</v>
      </c>
      <c r="I24" s="7">
        <f t="shared" si="3"/>
        <v>981.5628084</v>
      </c>
      <c r="J24" s="5"/>
      <c r="K24" s="5"/>
      <c r="L24" s="5"/>
      <c r="M24" s="5"/>
      <c r="N24" s="5"/>
      <c r="O24" s="5"/>
      <c r="P24" s="5"/>
      <c r="Q24" s="5"/>
    </row>
    <row r="25">
      <c r="A25" s="6">
        <f t="shared" si="4"/>
        <v>23</v>
      </c>
      <c r="B25" s="10">
        <v>16610.0</v>
      </c>
      <c r="C25" s="8">
        <v>15.60734463276836</v>
      </c>
      <c r="D25" s="7">
        <f t="shared" si="1"/>
        <v>2592.379944</v>
      </c>
      <c r="E25" s="7">
        <f t="shared" si="5"/>
        <v>21084.38933</v>
      </c>
      <c r="F25" s="9">
        <v>18.3035778783057</v>
      </c>
      <c r="G25" s="10">
        <f t="shared" si="2"/>
        <v>3859.197621</v>
      </c>
      <c r="H25" s="11">
        <v>29.0</v>
      </c>
      <c r="I25" s="7">
        <f t="shared" si="3"/>
        <v>1119.16731</v>
      </c>
      <c r="J25" s="5"/>
      <c r="K25" s="5"/>
      <c r="L25" s="5"/>
      <c r="M25" s="5"/>
      <c r="N25" s="5"/>
      <c r="O25" s="5"/>
      <c r="P25" s="5"/>
      <c r="Q25" s="5"/>
    </row>
    <row r="26">
      <c r="A26" s="6">
        <f t="shared" si="4"/>
        <v>24</v>
      </c>
      <c r="B26" s="10">
        <v>22332.0</v>
      </c>
      <c r="C26" s="8">
        <v>24.319356293136337</v>
      </c>
      <c r="D26" s="7">
        <f t="shared" si="1"/>
        <v>5430.998647</v>
      </c>
      <c r="E26" s="7">
        <f t="shared" si="5"/>
        <v>26515.38798</v>
      </c>
      <c r="F26" s="9">
        <v>18.3035778783057</v>
      </c>
      <c r="G26" s="10">
        <f t="shared" si="2"/>
        <v>4853.264688</v>
      </c>
      <c r="H26" s="11">
        <v>29.0</v>
      </c>
      <c r="I26" s="7">
        <f t="shared" si="3"/>
        <v>1407.44676</v>
      </c>
      <c r="J26" s="5"/>
      <c r="K26" s="5"/>
      <c r="L26" s="5"/>
      <c r="M26" s="5"/>
      <c r="N26" s="5"/>
      <c r="O26" s="5"/>
      <c r="P26" s="5"/>
      <c r="Q26" s="5"/>
    </row>
    <row r="27">
      <c r="A27" s="6">
        <v>25.0</v>
      </c>
      <c r="B27" s="7">
        <v>20109.0</v>
      </c>
      <c r="C27" s="8">
        <v>30.204021289178</v>
      </c>
      <c r="D27" s="7">
        <f t="shared" si="1"/>
        <v>6073.726641</v>
      </c>
      <c r="E27" s="7">
        <f t="shared" si="5"/>
        <v>32589.11462</v>
      </c>
      <c r="F27" s="9">
        <v>18.3035778783057</v>
      </c>
      <c r="G27" s="10">
        <f t="shared" si="2"/>
        <v>5964.973974</v>
      </c>
      <c r="H27" s="11">
        <v>29.0</v>
      </c>
      <c r="I27" s="7">
        <f t="shared" si="3"/>
        <v>1729.842452</v>
      </c>
      <c r="J27" s="5"/>
      <c r="K27" s="5"/>
      <c r="L27" s="5"/>
      <c r="M27" s="5"/>
      <c r="N27" s="5"/>
      <c r="O27" s="5"/>
      <c r="P27" s="5"/>
      <c r="Q27" s="5"/>
    </row>
    <row r="28">
      <c r="A28" s="5"/>
      <c r="B28" s="5"/>
      <c r="C28" s="5"/>
      <c r="D28" s="5"/>
      <c r="E28" s="5"/>
      <c r="F28" s="5"/>
      <c r="G28" s="13"/>
      <c r="H28" s="5"/>
      <c r="I28" s="13"/>
      <c r="J28" s="5"/>
      <c r="K28" s="5"/>
      <c r="L28" s="5"/>
      <c r="M28" s="5"/>
      <c r="N28" s="5"/>
      <c r="O28" s="5"/>
      <c r="P28" s="5"/>
      <c r="Q28" s="5"/>
    </row>
    <row r="29">
      <c r="A29" s="5"/>
      <c r="B29" s="5"/>
      <c r="C29" s="5"/>
      <c r="D29" s="5"/>
      <c r="E29" s="5"/>
      <c r="F29" s="5"/>
      <c r="G29" s="13"/>
      <c r="H29" s="5"/>
      <c r="I29" s="13"/>
      <c r="J29" s="5"/>
      <c r="K29" s="5"/>
      <c r="L29" s="5"/>
      <c r="M29" s="5"/>
      <c r="N29" s="5"/>
      <c r="O29" s="5"/>
      <c r="P29" s="5"/>
      <c r="Q29" s="5"/>
    </row>
    <row r="30">
      <c r="A30" s="5"/>
      <c r="B30" s="5"/>
      <c r="C30" s="5"/>
      <c r="D30" s="5"/>
      <c r="E30" s="5"/>
      <c r="F30" s="5"/>
      <c r="G30" s="13"/>
      <c r="H30" s="5"/>
      <c r="I30" s="13"/>
      <c r="J30" s="5"/>
      <c r="K30" s="5"/>
      <c r="L30" s="5"/>
      <c r="M30" s="5"/>
      <c r="N30" s="5"/>
      <c r="O30" s="5"/>
      <c r="P30" s="5"/>
      <c r="Q30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5"/>
    <col customWidth="1" min="5" max="6" width="15.5"/>
    <col customWidth="1" min="7" max="7" width="14.88"/>
  </cols>
  <sheetData>
    <row r="1">
      <c r="A1" s="14" t="s">
        <v>0</v>
      </c>
      <c r="B1" s="14" t="s">
        <v>1</v>
      </c>
      <c r="C1" s="14" t="s">
        <v>2</v>
      </c>
      <c r="D1" s="14" t="s">
        <v>3</v>
      </c>
      <c r="E1" s="14" t="s">
        <v>5</v>
      </c>
      <c r="F1" s="15" t="s">
        <v>9</v>
      </c>
      <c r="G1" s="14" t="s">
        <v>4</v>
      </c>
      <c r="H1" s="14" t="s">
        <v>7</v>
      </c>
      <c r="I1" s="15" t="s">
        <v>8</v>
      </c>
      <c r="J1" s="14"/>
      <c r="K1" s="14"/>
    </row>
    <row r="2">
      <c r="A2" s="16">
        <v>0.0</v>
      </c>
      <c r="B2" s="17">
        <v>12401.0</v>
      </c>
      <c r="C2" s="8">
        <v>1.81360201511335</v>
      </c>
      <c r="D2" s="18">
        <f t="shared" ref="D2:D27" si="1">B2*$C2/100</f>
        <v>224.9047859</v>
      </c>
      <c r="E2" s="19">
        <v>1.0</v>
      </c>
      <c r="F2" s="20">
        <f t="shared" ref="F2:F27" si="2">D2*E2/100</f>
        <v>2.249047859</v>
      </c>
      <c r="G2" s="18">
        <f>F2</f>
        <v>2.249047859</v>
      </c>
      <c r="H2" s="16">
        <v>29.0</v>
      </c>
      <c r="I2" s="18">
        <f t="shared" ref="I2:I27" si="3">G2*H2/100</f>
        <v>0.6522238791</v>
      </c>
      <c r="J2" s="21"/>
      <c r="R2" s="22"/>
    </row>
    <row r="3">
      <c r="A3" s="16">
        <f t="shared" ref="A3:A26" si="4">A2+1</f>
        <v>1</v>
      </c>
      <c r="B3" s="17">
        <v>7938.0</v>
      </c>
      <c r="C3" s="8">
        <v>2.2393145750170382</v>
      </c>
      <c r="D3" s="18">
        <f t="shared" si="1"/>
        <v>177.756791</v>
      </c>
      <c r="E3" s="19">
        <v>1.0</v>
      </c>
      <c r="F3" s="20">
        <f t="shared" si="2"/>
        <v>1.77756791</v>
      </c>
      <c r="G3" s="18">
        <f t="shared" ref="G3:G27" si="5">F3+G2</f>
        <v>4.026615769</v>
      </c>
      <c r="H3" s="16">
        <v>29.0</v>
      </c>
      <c r="I3" s="18">
        <f t="shared" si="3"/>
        <v>1.167718573</v>
      </c>
      <c r="J3" s="21"/>
    </row>
    <row r="4">
      <c r="A4" s="16">
        <f t="shared" si="4"/>
        <v>2</v>
      </c>
      <c r="B4" s="17">
        <v>11419.0</v>
      </c>
      <c r="C4" s="8">
        <v>2.824240864642306</v>
      </c>
      <c r="D4" s="18">
        <f t="shared" si="1"/>
        <v>322.5000643</v>
      </c>
      <c r="E4" s="19">
        <v>1.0</v>
      </c>
      <c r="F4" s="20">
        <f t="shared" si="2"/>
        <v>3.225000643</v>
      </c>
      <c r="G4" s="18">
        <f t="shared" si="5"/>
        <v>7.251616412</v>
      </c>
      <c r="H4" s="16">
        <v>29.0</v>
      </c>
      <c r="I4" s="18">
        <f t="shared" si="3"/>
        <v>2.102968759</v>
      </c>
      <c r="J4" s="21"/>
    </row>
    <row r="5">
      <c r="A5" s="16">
        <f t="shared" si="4"/>
        <v>3</v>
      </c>
      <c r="B5" s="17">
        <v>12538.0</v>
      </c>
      <c r="C5" s="8">
        <v>2.354287090558767</v>
      </c>
      <c r="D5" s="18">
        <f t="shared" si="1"/>
        <v>295.1805154</v>
      </c>
      <c r="E5" s="19">
        <v>1.0</v>
      </c>
      <c r="F5" s="20">
        <f t="shared" si="2"/>
        <v>2.951805154</v>
      </c>
      <c r="G5" s="18">
        <f t="shared" si="5"/>
        <v>10.20342157</v>
      </c>
      <c r="H5" s="16">
        <v>29.0</v>
      </c>
      <c r="I5" s="18">
        <f t="shared" si="3"/>
        <v>2.958992254</v>
      </c>
      <c r="J5" s="21"/>
    </row>
    <row r="6">
      <c r="A6" s="16">
        <f t="shared" si="4"/>
        <v>4</v>
      </c>
      <c r="B6" s="17">
        <v>15035.0</v>
      </c>
      <c r="C6" s="8">
        <v>3.87653957505275</v>
      </c>
      <c r="D6" s="18">
        <f t="shared" si="1"/>
        <v>582.8377251</v>
      </c>
      <c r="E6" s="19">
        <v>1.0</v>
      </c>
      <c r="F6" s="20">
        <f t="shared" si="2"/>
        <v>5.828377251</v>
      </c>
      <c r="G6" s="18">
        <f t="shared" si="5"/>
        <v>16.03179882</v>
      </c>
      <c r="H6" s="16">
        <v>29.0</v>
      </c>
      <c r="I6" s="18">
        <f t="shared" si="3"/>
        <v>4.649221657</v>
      </c>
      <c r="J6" s="21"/>
    </row>
    <row r="7">
      <c r="A7" s="16">
        <f t="shared" si="4"/>
        <v>5</v>
      </c>
      <c r="B7" s="17">
        <v>11701.0</v>
      </c>
      <c r="C7" s="8">
        <v>3.487552841709723</v>
      </c>
      <c r="D7" s="18">
        <f t="shared" si="1"/>
        <v>408.078558</v>
      </c>
      <c r="E7" s="19">
        <v>1.0</v>
      </c>
      <c r="F7" s="20">
        <f t="shared" si="2"/>
        <v>4.08078558</v>
      </c>
      <c r="G7" s="18">
        <f t="shared" si="5"/>
        <v>20.1125844</v>
      </c>
      <c r="H7" s="16">
        <v>29.0</v>
      </c>
      <c r="I7" s="18">
        <f t="shared" si="3"/>
        <v>5.832649475</v>
      </c>
      <c r="J7" s="21"/>
      <c r="R7" s="22"/>
    </row>
    <row r="8">
      <c r="A8" s="16">
        <f t="shared" si="4"/>
        <v>6</v>
      </c>
      <c r="B8" s="17">
        <v>12114.0</v>
      </c>
      <c r="C8" s="8">
        <v>5.080382172893186</v>
      </c>
      <c r="D8" s="18">
        <f t="shared" si="1"/>
        <v>615.4374964</v>
      </c>
      <c r="E8" s="19">
        <v>1.0</v>
      </c>
      <c r="F8" s="20">
        <f t="shared" si="2"/>
        <v>6.154374964</v>
      </c>
      <c r="G8" s="18">
        <f t="shared" si="5"/>
        <v>26.26695936</v>
      </c>
      <c r="H8" s="16">
        <v>29.0</v>
      </c>
      <c r="I8" s="18">
        <f t="shared" si="3"/>
        <v>7.617418215</v>
      </c>
      <c r="J8" s="21"/>
    </row>
    <row r="9">
      <c r="A9" s="16">
        <f t="shared" si="4"/>
        <v>7</v>
      </c>
      <c r="B9" s="17">
        <v>9681.0</v>
      </c>
      <c r="C9" s="8">
        <v>4.64373627835806</v>
      </c>
      <c r="D9" s="18">
        <f t="shared" si="1"/>
        <v>449.5601091</v>
      </c>
      <c r="E9" s="19">
        <v>1.0</v>
      </c>
      <c r="F9" s="20">
        <f t="shared" si="2"/>
        <v>4.495601091</v>
      </c>
      <c r="G9" s="18">
        <f t="shared" si="5"/>
        <v>30.76256045</v>
      </c>
      <c r="H9" s="16">
        <v>29.0</v>
      </c>
      <c r="I9" s="18">
        <f t="shared" si="3"/>
        <v>8.921142531</v>
      </c>
      <c r="J9" s="21"/>
    </row>
    <row r="10">
      <c r="A10" s="16">
        <f t="shared" si="4"/>
        <v>8</v>
      </c>
      <c r="B10" s="17">
        <v>13315.0</v>
      </c>
      <c r="C10" s="8">
        <v>3.660375396454011</v>
      </c>
      <c r="D10" s="18">
        <f t="shared" si="1"/>
        <v>487.378984</v>
      </c>
      <c r="E10" s="19">
        <v>2.5</v>
      </c>
      <c r="F10" s="20">
        <f t="shared" si="2"/>
        <v>12.1844746</v>
      </c>
      <c r="G10" s="18">
        <f t="shared" si="5"/>
        <v>42.94703505</v>
      </c>
      <c r="H10" s="16">
        <v>29.0</v>
      </c>
      <c r="I10" s="18">
        <f t="shared" si="3"/>
        <v>12.45464017</v>
      </c>
      <c r="J10" s="21"/>
    </row>
    <row r="11">
      <c r="A11" s="16">
        <f t="shared" si="4"/>
        <v>9</v>
      </c>
      <c r="B11" s="20">
        <v>12798.0</v>
      </c>
      <c r="C11" s="8">
        <v>5.160882616251515</v>
      </c>
      <c r="D11" s="18">
        <f t="shared" si="1"/>
        <v>660.4897572</v>
      </c>
      <c r="E11" s="19">
        <v>2.5</v>
      </c>
      <c r="F11" s="20">
        <f t="shared" si="2"/>
        <v>16.51224393</v>
      </c>
      <c r="G11" s="18">
        <f t="shared" si="5"/>
        <v>59.45927898</v>
      </c>
      <c r="H11" s="16">
        <v>29.0</v>
      </c>
      <c r="I11" s="18">
        <f t="shared" si="3"/>
        <v>17.24319091</v>
      </c>
    </row>
    <row r="12">
      <c r="A12" s="16">
        <f t="shared" si="4"/>
        <v>10</v>
      </c>
      <c r="B12" s="20">
        <v>14635.0</v>
      </c>
      <c r="C12" s="8">
        <v>5.663677130044843</v>
      </c>
      <c r="D12" s="18">
        <f t="shared" si="1"/>
        <v>828.879148</v>
      </c>
      <c r="E12" s="19">
        <v>2.5</v>
      </c>
      <c r="F12" s="20">
        <f t="shared" si="2"/>
        <v>20.7219787</v>
      </c>
      <c r="G12" s="18">
        <f t="shared" si="5"/>
        <v>80.18125768</v>
      </c>
      <c r="H12" s="16">
        <v>29.0</v>
      </c>
      <c r="I12" s="18">
        <f t="shared" si="3"/>
        <v>23.25256473</v>
      </c>
      <c r="R12" s="22"/>
    </row>
    <row r="13">
      <c r="A13" s="16">
        <f t="shared" si="4"/>
        <v>11</v>
      </c>
      <c r="B13" s="20">
        <v>11226.0</v>
      </c>
      <c r="C13" s="8">
        <v>5.426134737565108</v>
      </c>
      <c r="D13" s="18">
        <f t="shared" si="1"/>
        <v>609.1378856</v>
      </c>
      <c r="E13" s="19">
        <v>2.5</v>
      </c>
      <c r="F13" s="20">
        <f t="shared" si="2"/>
        <v>15.22844714</v>
      </c>
      <c r="G13" s="18">
        <f t="shared" si="5"/>
        <v>95.40970482</v>
      </c>
      <c r="H13" s="16">
        <v>29.0</v>
      </c>
      <c r="I13" s="18">
        <f t="shared" si="3"/>
        <v>27.6688144</v>
      </c>
    </row>
    <row r="14">
      <c r="A14" s="16">
        <f t="shared" si="4"/>
        <v>12</v>
      </c>
      <c r="B14" s="20">
        <v>14833.0</v>
      </c>
      <c r="C14" s="8">
        <v>4.57536963577353</v>
      </c>
      <c r="D14" s="18">
        <f t="shared" si="1"/>
        <v>678.6645781</v>
      </c>
      <c r="E14" s="19">
        <v>3.8</v>
      </c>
      <c r="F14" s="20">
        <f t="shared" si="2"/>
        <v>25.78925397</v>
      </c>
      <c r="G14" s="18">
        <f t="shared" si="5"/>
        <v>121.1989588</v>
      </c>
      <c r="H14" s="16">
        <v>29.0</v>
      </c>
      <c r="I14" s="18">
        <f t="shared" si="3"/>
        <v>35.14769805</v>
      </c>
    </row>
    <row r="15">
      <c r="A15" s="16">
        <f t="shared" si="4"/>
        <v>13</v>
      </c>
      <c r="B15" s="20">
        <v>14490.0</v>
      </c>
      <c r="C15" s="8">
        <v>5.371810075987175</v>
      </c>
      <c r="D15" s="18">
        <f t="shared" si="1"/>
        <v>778.37528</v>
      </c>
      <c r="E15" s="19">
        <v>3.8</v>
      </c>
      <c r="F15" s="20">
        <f t="shared" si="2"/>
        <v>29.57826064</v>
      </c>
      <c r="G15" s="18">
        <f t="shared" si="5"/>
        <v>150.7772194</v>
      </c>
      <c r="H15" s="16">
        <v>29.0</v>
      </c>
      <c r="I15" s="18">
        <f t="shared" si="3"/>
        <v>43.72539364</v>
      </c>
    </row>
    <row r="16">
      <c r="A16" s="16">
        <f t="shared" si="4"/>
        <v>14</v>
      </c>
      <c r="B16" s="20">
        <v>14118.0</v>
      </c>
      <c r="C16" s="8">
        <v>5.176221588294838</v>
      </c>
      <c r="D16" s="18">
        <f t="shared" si="1"/>
        <v>730.7789638</v>
      </c>
      <c r="E16" s="19">
        <v>3.8</v>
      </c>
      <c r="F16" s="20">
        <f t="shared" si="2"/>
        <v>27.76960063</v>
      </c>
      <c r="G16" s="18">
        <f t="shared" si="5"/>
        <v>178.5468201</v>
      </c>
      <c r="H16" s="16">
        <v>29.0</v>
      </c>
      <c r="I16" s="18">
        <f t="shared" si="3"/>
        <v>51.77857782</v>
      </c>
    </row>
    <row r="17">
      <c r="A17" s="16">
        <f t="shared" si="4"/>
        <v>15</v>
      </c>
      <c r="B17" s="20">
        <v>12177.0</v>
      </c>
      <c r="C17" s="8">
        <v>5.819043205108399</v>
      </c>
      <c r="D17" s="18">
        <f t="shared" si="1"/>
        <v>708.5848911</v>
      </c>
      <c r="E17" s="19">
        <v>3.8</v>
      </c>
      <c r="F17" s="20">
        <f t="shared" si="2"/>
        <v>26.92622586</v>
      </c>
      <c r="G17" s="18">
        <f t="shared" si="5"/>
        <v>205.4730459</v>
      </c>
      <c r="H17" s="16">
        <v>29.0</v>
      </c>
      <c r="I17" s="18">
        <f t="shared" si="3"/>
        <v>59.58718332</v>
      </c>
      <c r="R17" s="22"/>
    </row>
    <row r="18">
      <c r="A18" s="16">
        <f t="shared" si="4"/>
        <v>16</v>
      </c>
      <c r="B18" s="20">
        <v>11108.0</v>
      </c>
      <c r="C18" s="8">
        <v>7.361401673640168</v>
      </c>
      <c r="D18" s="18">
        <f t="shared" si="1"/>
        <v>817.7044979</v>
      </c>
      <c r="E18" s="19">
        <v>11.0</v>
      </c>
      <c r="F18" s="20">
        <f t="shared" si="2"/>
        <v>89.94749477</v>
      </c>
      <c r="G18" s="18">
        <f t="shared" si="5"/>
        <v>295.4205407</v>
      </c>
      <c r="H18" s="16">
        <v>29.0</v>
      </c>
      <c r="I18" s="18">
        <f t="shared" si="3"/>
        <v>85.6719568</v>
      </c>
    </row>
    <row r="19">
      <c r="A19" s="16">
        <f t="shared" si="4"/>
        <v>17</v>
      </c>
      <c r="B19" s="20">
        <v>13316.0</v>
      </c>
      <c r="C19" s="8">
        <v>9.62182603997839</v>
      </c>
      <c r="D19" s="18">
        <f t="shared" si="1"/>
        <v>1281.242355</v>
      </c>
      <c r="E19" s="19">
        <v>11.0</v>
      </c>
      <c r="F19" s="20">
        <f t="shared" si="2"/>
        <v>140.9366591</v>
      </c>
      <c r="G19" s="18">
        <f t="shared" si="5"/>
        <v>436.3571998</v>
      </c>
      <c r="H19" s="16">
        <v>29.0</v>
      </c>
      <c r="I19" s="18">
        <f t="shared" si="3"/>
        <v>126.5435879</v>
      </c>
    </row>
    <row r="20">
      <c r="A20" s="16">
        <f t="shared" si="4"/>
        <v>18</v>
      </c>
      <c r="B20" s="20">
        <v>16198.0</v>
      </c>
      <c r="C20" s="8">
        <v>8.601106278765359</v>
      </c>
      <c r="D20" s="18">
        <f t="shared" si="1"/>
        <v>1393.207195</v>
      </c>
      <c r="E20" s="19">
        <v>11.0</v>
      </c>
      <c r="F20" s="20">
        <f t="shared" si="2"/>
        <v>153.2527915</v>
      </c>
      <c r="G20" s="18">
        <f t="shared" si="5"/>
        <v>589.6099912</v>
      </c>
      <c r="H20" s="16">
        <v>29.0</v>
      </c>
      <c r="I20" s="18">
        <f t="shared" si="3"/>
        <v>170.9868975</v>
      </c>
    </row>
    <row r="21">
      <c r="A21" s="16">
        <f t="shared" si="4"/>
        <v>19</v>
      </c>
      <c r="B21" s="20">
        <v>14286.0</v>
      </c>
      <c r="C21" s="8">
        <v>8.344640434192673</v>
      </c>
      <c r="D21" s="18">
        <f t="shared" si="1"/>
        <v>1192.115332</v>
      </c>
      <c r="E21" s="19">
        <v>11.0</v>
      </c>
      <c r="F21" s="20">
        <f t="shared" si="2"/>
        <v>131.1326866</v>
      </c>
      <c r="G21" s="18">
        <f t="shared" si="5"/>
        <v>720.7426778</v>
      </c>
      <c r="H21" s="16">
        <v>29.0</v>
      </c>
      <c r="I21" s="18">
        <f t="shared" si="3"/>
        <v>209.0153766</v>
      </c>
    </row>
    <row r="22">
      <c r="A22" s="16">
        <f t="shared" si="4"/>
        <v>20</v>
      </c>
      <c r="B22" s="20">
        <v>21096.0</v>
      </c>
      <c r="C22" s="8">
        <v>6.810402625357281</v>
      </c>
      <c r="D22" s="18">
        <f t="shared" si="1"/>
        <v>1436.722538</v>
      </c>
      <c r="E22" s="19">
        <v>21.0</v>
      </c>
      <c r="F22" s="20">
        <f t="shared" si="2"/>
        <v>301.7117329</v>
      </c>
      <c r="G22" s="18">
        <f t="shared" si="5"/>
        <v>1022.454411</v>
      </c>
      <c r="H22" s="16">
        <v>29.0</v>
      </c>
      <c r="I22" s="18">
        <f t="shared" si="3"/>
        <v>296.5117791</v>
      </c>
      <c r="R22" s="22"/>
    </row>
    <row r="23">
      <c r="A23" s="16">
        <f t="shared" si="4"/>
        <v>21</v>
      </c>
      <c r="B23" s="20">
        <v>21161.0</v>
      </c>
      <c r="C23" s="8">
        <v>6.919619155487913</v>
      </c>
      <c r="D23" s="18">
        <f t="shared" si="1"/>
        <v>1464.260609</v>
      </c>
      <c r="E23" s="19">
        <v>21.0</v>
      </c>
      <c r="F23" s="20">
        <f t="shared" si="2"/>
        <v>307.494728</v>
      </c>
      <c r="G23" s="18">
        <f t="shared" si="5"/>
        <v>1329.949139</v>
      </c>
      <c r="H23" s="16">
        <v>29.0</v>
      </c>
      <c r="I23" s="18">
        <f t="shared" si="3"/>
        <v>385.6852502</v>
      </c>
    </row>
    <row r="24">
      <c r="A24" s="16">
        <f t="shared" si="4"/>
        <v>22</v>
      </c>
      <c r="B24" s="20">
        <v>23565.0</v>
      </c>
      <c r="C24" s="8">
        <v>9.964826330004396</v>
      </c>
      <c r="D24" s="18">
        <f t="shared" si="1"/>
        <v>2348.211325</v>
      </c>
      <c r="E24" s="19">
        <v>21.0</v>
      </c>
      <c r="F24" s="20">
        <f t="shared" si="2"/>
        <v>493.1243782</v>
      </c>
      <c r="G24" s="18">
        <f t="shared" si="5"/>
        <v>1823.073517</v>
      </c>
      <c r="H24" s="16">
        <v>29.0</v>
      </c>
      <c r="I24" s="18">
        <f t="shared" si="3"/>
        <v>528.6913199</v>
      </c>
    </row>
    <row r="25">
      <c r="A25" s="16">
        <f t="shared" si="4"/>
        <v>23</v>
      </c>
      <c r="B25" s="20">
        <v>16610.0</v>
      </c>
      <c r="C25" s="8">
        <v>15.60734463276836</v>
      </c>
      <c r="D25" s="18">
        <f t="shared" si="1"/>
        <v>2592.379944</v>
      </c>
      <c r="E25" s="19">
        <v>21.0</v>
      </c>
      <c r="F25" s="20">
        <f t="shared" si="2"/>
        <v>544.3997881</v>
      </c>
      <c r="G25" s="18">
        <f t="shared" si="5"/>
        <v>2367.473305</v>
      </c>
      <c r="H25" s="16">
        <v>29.0</v>
      </c>
      <c r="I25" s="18">
        <f t="shared" si="3"/>
        <v>686.5672585</v>
      </c>
    </row>
    <row r="26">
      <c r="A26" s="16">
        <f t="shared" si="4"/>
        <v>24</v>
      </c>
      <c r="B26" s="20">
        <v>22332.0</v>
      </c>
      <c r="C26" s="8">
        <v>24.319356293136337</v>
      </c>
      <c r="D26" s="18">
        <f t="shared" si="1"/>
        <v>5430.998647</v>
      </c>
      <c r="E26" s="19">
        <v>30.0</v>
      </c>
      <c r="F26" s="20">
        <f t="shared" si="2"/>
        <v>1629.299594</v>
      </c>
      <c r="G26" s="18">
        <f t="shared" si="5"/>
        <v>3996.772899</v>
      </c>
      <c r="H26" s="16">
        <v>29.0</v>
      </c>
      <c r="I26" s="18">
        <f t="shared" si="3"/>
        <v>1159.064141</v>
      </c>
    </row>
    <row r="27">
      <c r="A27" s="16">
        <v>25.0</v>
      </c>
      <c r="B27" s="17">
        <v>20109.0</v>
      </c>
      <c r="C27" s="8">
        <v>30.204021289178</v>
      </c>
      <c r="D27" s="18">
        <f t="shared" si="1"/>
        <v>6073.726641</v>
      </c>
      <c r="E27" s="19">
        <v>30.0</v>
      </c>
      <c r="F27" s="20">
        <f t="shared" si="2"/>
        <v>1822.117992</v>
      </c>
      <c r="G27" s="18">
        <f t="shared" si="5"/>
        <v>5818.890892</v>
      </c>
      <c r="H27" s="16">
        <v>29.0</v>
      </c>
      <c r="I27" s="18">
        <f t="shared" si="3"/>
        <v>1687.478359</v>
      </c>
      <c r="R27" s="22"/>
    </row>
    <row r="28">
      <c r="D28" s="18"/>
      <c r="F28" s="18"/>
      <c r="I28" s="18"/>
    </row>
    <row r="29">
      <c r="F29" s="18"/>
      <c r="I29" s="18"/>
    </row>
    <row r="30">
      <c r="F30" s="18"/>
      <c r="I30" s="18"/>
    </row>
    <row r="31">
      <c r="B31" s="23"/>
      <c r="F31" s="18"/>
      <c r="I31" s="18"/>
    </row>
    <row r="32">
      <c r="B32" s="23"/>
      <c r="C32" s="24"/>
      <c r="E32" s="24"/>
      <c r="F32" s="25"/>
      <c r="I32" s="18"/>
      <c r="R32" s="26"/>
    </row>
    <row r="33">
      <c r="B33" s="23"/>
      <c r="C33" s="27"/>
      <c r="E33" s="24"/>
      <c r="F33" s="25"/>
      <c r="I33" s="18"/>
    </row>
    <row r="34">
      <c r="B34" s="23"/>
      <c r="C34" s="28"/>
      <c r="E34" s="24"/>
      <c r="F34" s="25"/>
      <c r="I34" s="18"/>
    </row>
    <row r="35">
      <c r="A35" s="29"/>
      <c r="B35" s="23"/>
      <c r="C35" s="28"/>
      <c r="D35" s="29"/>
      <c r="E35" s="29"/>
      <c r="F35" s="30"/>
      <c r="G35" s="29"/>
      <c r="I35" s="18"/>
      <c r="J35" s="29"/>
      <c r="K35" s="29"/>
      <c r="L35" s="30"/>
    </row>
    <row r="36">
      <c r="A36" s="31"/>
      <c r="B36" s="24"/>
      <c r="C36" s="28"/>
      <c r="D36" s="29"/>
      <c r="E36" s="29"/>
      <c r="F36" s="30"/>
      <c r="G36" s="29"/>
      <c r="I36" s="18"/>
      <c r="J36" s="31"/>
      <c r="K36" s="31"/>
    </row>
    <row r="37">
      <c r="A37" s="31"/>
      <c r="B37" s="24"/>
      <c r="C37" s="28"/>
      <c r="D37" s="29"/>
      <c r="E37" s="29"/>
      <c r="F37" s="30"/>
      <c r="G37" s="29"/>
      <c r="I37" s="18"/>
      <c r="J37" s="31"/>
      <c r="K37" s="31"/>
    </row>
    <row r="38">
      <c r="A38" s="31"/>
      <c r="B38" s="32"/>
      <c r="C38" s="28"/>
      <c r="D38" s="29"/>
      <c r="E38" s="29"/>
      <c r="F38" s="30"/>
      <c r="G38" s="29"/>
      <c r="I38" s="18"/>
      <c r="J38" s="31"/>
      <c r="K38" s="31"/>
    </row>
    <row r="39">
      <c r="A39" s="31"/>
      <c r="B39" s="24"/>
      <c r="C39" s="28"/>
      <c r="D39" s="29"/>
      <c r="E39" s="29"/>
      <c r="F39" s="30"/>
      <c r="G39" s="29"/>
      <c r="I39" s="18"/>
      <c r="J39" s="31"/>
      <c r="K39" s="31"/>
    </row>
    <row r="40">
      <c r="A40" s="29"/>
      <c r="B40" s="23"/>
      <c r="C40" s="28"/>
      <c r="D40" s="29"/>
      <c r="E40" s="29"/>
      <c r="F40" s="30"/>
      <c r="G40" s="29"/>
      <c r="I40" s="18"/>
      <c r="J40" s="29"/>
      <c r="K40" s="29"/>
    </row>
    <row r="41">
      <c r="A41" s="31"/>
      <c r="B41" s="24"/>
      <c r="C41" s="28"/>
      <c r="D41" s="29"/>
      <c r="E41" s="29"/>
      <c r="F41" s="30"/>
      <c r="G41" s="29"/>
      <c r="I41" s="18"/>
      <c r="J41" s="31"/>
      <c r="K41" s="31"/>
    </row>
    <row r="42">
      <c r="A42" s="31"/>
      <c r="B42" s="24"/>
      <c r="C42" s="28"/>
      <c r="D42" s="29"/>
      <c r="E42" s="29"/>
      <c r="F42" s="30"/>
      <c r="G42" s="29"/>
      <c r="I42" s="18"/>
      <c r="J42" s="31"/>
      <c r="K42" s="31"/>
    </row>
    <row r="43">
      <c r="A43" s="31"/>
      <c r="B43" s="32"/>
      <c r="C43" s="28"/>
      <c r="D43" s="29"/>
      <c r="E43" s="29"/>
      <c r="F43" s="30"/>
      <c r="G43" s="29"/>
      <c r="I43" s="18"/>
      <c r="J43" s="31"/>
      <c r="K43" s="31"/>
    </row>
    <row r="44">
      <c r="A44" s="31"/>
      <c r="B44" s="24"/>
      <c r="C44" s="28"/>
      <c r="D44" s="29"/>
      <c r="E44" s="29"/>
      <c r="F44" s="30"/>
      <c r="G44" s="29"/>
      <c r="I44" s="18"/>
      <c r="J44" s="31"/>
      <c r="K44" s="31"/>
    </row>
    <row r="45">
      <c r="A45" s="29"/>
      <c r="B45" s="23"/>
      <c r="C45" s="28"/>
      <c r="D45" s="29"/>
      <c r="E45" s="29"/>
      <c r="F45" s="30"/>
      <c r="G45" s="29"/>
      <c r="I45" s="18"/>
      <c r="J45" s="29"/>
      <c r="K45" s="29"/>
    </row>
    <row r="46">
      <c r="A46" s="31"/>
      <c r="B46" s="24"/>
      <c r="C46" s="28"/>
      <c r="D46" s="29"/>
      <c r="E46" s="29"/>
      <c r="F46" s="30"/>
      <c r="G46" s="29"/>
      <c r="I46" s="18"/>
      <c r="J46" s="31"/>
      <c r="K46" s="31"/>
    </row>
    <row r="47">
      <c r="A47" s="31"/>
      <c r="B47" s="24"/>
      <c r="C47" s="28"/>
      <c r="D47" s="29"/>
      <c r="E47" s="29"/>
      <c r="F47" s="30"/>
      <c r="G47" s="29"/>
      <c r="I47" s="18"/>
      <c r="J47" s="31"/>
      <c r="K47" s="31"/>
    </row>
    <row r="48">
      <c r="A48" s="31"/>
      <c r="B48" s="24"/>
      <c r="C48" s="28"/>
      <c r="D48" s="29"/>
      <c r="E48" s="29"/>
      <c r="F48" s="30"/>
      <c r="G48" s="29"/>
      <c r="I48" s="18"/>
      <c r="J48" s="31"/>
      <c r="K48" s="31"/>
    </row>
    <row r="49">
      <c r="A49" s="31"/>
      <c r="B49" s="24"/>
      <c r="C49" s="28"/>
      <c r="D49" s="29"/>
      <c r="E49" s="29"/>
      <c r="F49" s="30"/>
      <c r="G49" s="29"/>
      <c r="I49" s="18"/>
      <c r="J49" s="31"/>
      <c r="K49" s="31"/>
    </row>
    <row r="50">
      <c r="A50" s="29"/>
      <c r="B50" s="23"/>
      <c r="C50" s="28"/>
      <c r="D50" s="29"/>
      <c r="E50" s="29"/>
      <c r="F50" s="30"/>
      <c r="G50" s="29"/>
      <c r="I50" s="18"/>
      <c r="J50" s="29"/>
      <c r="K50" s="29"/>
    </row>
    <row r="51">
      <c r="A51" s="31"/>
      <c r="B51" s="24"/>
      <c r="C51" s="28"/>
      <c r="D51" s="29"/>
      <c r="E51" s="29"/>
      <c r="F51" s="30"/>
      <c r="G51" s="29"/>
      <c r="I51" s="18"/>
      <c r="J51" s="31"/>
      <c r="K51" s="31"/>
    </row>
    <row r="52">
      <c r="A52" s="31"/>
      <c r="B52" s="24"/>
      <c r="C52" s="28"/>
      <c r="D52" s="29"/>
      <c r="E52" s="29"/>
      <c r="F52" s="30"/>
      <c r="G52" s="29"/>
      <c r="I52" s="18"/>
      <c r="J52" s="31"/>
      <c r="K52" s="31"/>
    </row>
    <row r="53">
      <c r="A53" s="31"/>
      <c r="B53" s="24"/>
      <c r="C53" s="28"/>
      <c r="D53" s="29"/>
      <c r="E53" s="29"/>
      <c r="F53" s="30"/>
      <c r="G53" s="29"/>
      <c r="I53" s="18"/>
      <c r="J53" s="31"/>
      <c r="K53" s="31"/>
    </row>
    <row r="54">
      <c r="A54" s="31"/>
      <c r="B54" s="24"/>
      <c r="C54" s="28"/>
      <c r="D54" s="29"/>
      <c r="E54" s="29"/>
      <c r="F54" s="30"/>
      <c r="G54" s="29"/>
      <c r="I54" s="18"/>
      <c r="J54" s="31"/>
      <c r="K54" s="31"/>
    </row>
    <row r="55">
      <c r="A55" s="29"/>
      <c r="B55" s="23"/>
      <c r="C55" s="28"/>
      <c r="D55" s="29"/>
      <c r="E55" s="29"/>
      <c r="F55" s="30"/>
      <c r="G55" s="29"/>
      <c r="I55" s="18"/>
      <c r="J55" s="29"/>
      <c r="K55" s="29"/>
    </row>
    <row r="56">
      <c r="A56" s="31"/>
      <c r="B56" s="24"/>
      <c r="C56" s="28"/>
      <c r="D56" s="29"/>
      <c r="E56" s="29"/>
      <c r="F56" s="30"/>
      <c r="G56" s="29"/>
      <c r="I56" s="18"/>
      <c r="J56" s="31"/>
      <c r="K56" s="31"/>
    </row>
    <row r="57">
      <c r="A57" s="31"/>
      <c r="B57" s="24"/>
      <c r="C57" s="28"/>
      <c r="D57" s="29"/>
      <c r="E57" s="29"/>
      <c r="F57" s="30"/>
      <c r="G57" s="29"/>
      <c r="I57" s="18"/>
      <c r="J57" s="31"/>
      <c r="K57" s="31"/>
    </row>
    <row r="58">
      <c r="A58" s="31"/>
      <c r="B58" s="24"/>
      <c r="C58" s="28"/>
      <c r="D58" s="29"/>
      <c r="E58" s="29"/>
      <c r="F58" s="30"/>
      <c r="G58" s="29"/>
      <c r="I58" s="18"/>
      <c r="J58" s="31"/>
      <c r="K58" s="31"/>
    </row>
    <row r="59">
      <c r="A59" s="31"/>
      <c r="B59" s="24"/>
      <c r="C59" s="33"/>
      <c r="D59" s="29"/>
      <c r="E59" s="29"/>
      <c r="F59" s="30"/>
      <c r="G59" s="29"/>
      <c r="I59" s="18"/>
      <c r="J59" s="31"/>
      <c r="K59" s="31"/>
    </row>
    <row r="60">
      <c r="A60" s="29"/>
      <c r="B60" s="23"/>
      <c r="D60" s="29"/>
      <c r="E60" s="29"/>
      <c r="F60" s="30"/>
      <c r="G60" s="29"/>
      <c r="I60" s="18"/>
      <c r="J60" s="29"/>
      <c r="K60" s="29"/>
    </row>
    <row r="61">
      <c r="A61" s="31"/>
      <c r="B61" s="24"/>
      <c r="D61" s="29"/>
      <c r="E61" s="29"/>
      <c r="F61" s="30"/>
      <c r="G61" s="29"/>
      <c r="I61" s="18"/>
      <c r="J61" s="31"/>
      <c r="K61" s="31"/>
    </row>
    <row r="62">
      <c r="A62" s="31"/>
      <c r="B62" s="24"/>
      <c r="D62" s="29"/>
      <c r="E62" s="29"/>
      <c r="F62" s="30"/>
      <c r="G62" s="29"/>
      <c r="I62" s="18"/>
      <c r="J62" s="31"/>
      <c r="K62" s="31"/>
    </row>
    <row r="63">
      <c r="A63" s="31"/>
      <c r="B63" s="24"/>
      <c r="C63" s="26"/>
      <c r="D63" s="29"/>
      <c r="E63" s="29"/>
      <c r="F63" s="30"/>
      <c r="G63" s="29"/>
      <c r="I63" s="18"/>
      <c r="J63" s="31"/>
      <c r="K63" s="31"/>
    </row>
    <row r="64">
      <c r="A64" s="31"/>
      <c r="B64" s="24"/>
      <c r="D64" s="29"/>
      <c r="E64" s="29"/>
      <c r="F64" s="30"/>
      <c r="G64" s="29"/>
      <c r="I64" s="18"/>
      <c r="J64" s="31"/>
      <c r="K64" s="31"/>
    </row>
    <row r="65">
      <c r="A65" s="34"/>
      <c r="B65" s="23"/>
      <c r="D65" s="34"/>
      <c r="E65" s="29"/>
      <c r="F65" s="30"/>
      <c r="G65" s="34"/>
      <c r="I65" s="18"/>
      <c r="J65" s="34"/>
      <c r="K65" s="34"/>
    </row>
    <row r="66">
      <c r="A66" s="35"/>
      <c r="B66" s="36"/>
      <c r="C66" s="37"/>
      <c r="D66" s="37"/>
      <c r="E66" s="37"/>
      <c r="F66" s="38"/>
      <c r="G66" s="37"/>
      <c r="I66" s="18"/>
      <c r="J66" s="35"/>
      <c r="K66" s="35"/>
    </row>
    <row r="67">
      <c r="F67" s="18"/>
      <c r="I67" s="18"/>
    </row>
    <row r="68">
      <c r="F68" s="18"/>
      <c r="I68" s="18"/>
    </row>
    <row r="69">
      <c r="F69" s="18"/>
      <c r="I69" s="18"/>
    </row>
    <row r="70">
      <c r="A70" s="39"/>
      <c r="B70" s="23"/>
      <c r="C70" s="39"/>
      <c r="D70" s="39"/>
      <c r="E70" s="39"/>
      <c r="F70" s="40"/>
      <c r="G70" s="39"/>
      <c r="I70" s="18"/>
      <c r="J70" s="39"/>
      <c r="K70" s="39"/>
      <c r="L70" s="39"/>
    </row>
    <row r="71">
      <c r="A71" s="31"/>
      <c r="B71" s="24"/>
      <c r="C71" s="29"/>
      <c r="D71" s="29"/>
      <c r="E71" s="29"/>
      <c r="F71" s="30"/>
      <c r="G71" s="29"/>
      <c r="I71" s="18"/>
      <c r="J71" s="31"/>
      <c r="K71" s="31"/>
      <c r="L71" s="29"/>
    </row>
    <row r="72">
      <c r="A72" s="31"/>
      <c r="B72" s="24"/>
      <c r="C72" s="29"/>
      <c r="D72" s="29"/>
      <c r="E72" s="29"/>
      <c r="F72" s="30"/>
      <c r="G72" s="29"/>
      <c r="I72" s="18"/>
      <c r="J72" s="31"/>
      <c r="K72" s="31"/>
      <c r="L72" s="29"/>
    </row>
    <row r="73">
      <c r="A73" s="31"/>
      <c r="B73" s="32"/>
      <c r="C73" s="29"/>
      <c r="D73" s="29"/>
      <c r="E73" s="29"/>
      <c r="F73" s="30"/>
      <c r="G73" s="29"/>
      <c r="I73" s="18"/>
      <c r="J73" s="31"/>
      <c r="K73" s="31"/>
      <c r="L73" s="29"/>
    </row>
    <row r="74">
      <c r="A74" s="31"/>
      <c r="B74" s="24"/>
      <c r="C74" s="29"/>
      <c r="D74" s="29"/>
      <c r="E74" s="29"/>
      <c r="F74" s="30"/>
      <c r="G74" s="29"/>
      <c r="I74" s="18"/>
      <c r="J74" s="31"/>
      <c r="K74" s="31"/>
      <c r="L74" s="29"/>
    </row>
    <row r="75">
      <c r="A75" s="29"/>
      <c r="B75" s="23"/>
      <c r="C75" s="29"/>
      <c r="D75" s="29"/>
      <c r="E75" s="29"/>
      <c r="F75" s="30"/>
      <c r="G75" s="29"/>
      <c r="I75" s="18"/>
      <c r="J75" s="29"/>
      <c r="K75" s="29"/>
      <c r="L75" s="29"/>
    </row>
    <row r="76">
      <c r="A76" s="31"/>
      <c r="B76" s="24"/>
      <c r="C76" s="29"/>
      <c r="D76" s="29"/>
      <c r="E76" s="29"/>
      <c r="F76" s="30"/>
      <c r="G76" s="29"/>
      <c r="I76" s="18"/>
      <c r="J76" s="31"/>
      <c r="K76" s="31"/>
      <c r="L76" s="29"/>
    </row>
    <row r="77">
      <c r="A77" s="31"/>
      <c r="B77" s="24"/>
      <c r="C77" s="29"/>
      <c r="D77" s="29"/>
      <c r="E77" s="29"/>
      <c r="F77" s="30"/>
      <c r="G77" s="29"/>
      <c r="I77" s="18"/>
      <c r="J77" s="31"/>
      <c r="K77" s="31"/>
      <c r="L77" s="29"/>
    </row>
    <row r="78">
      <c r="A78" s="31"/>
      <c r="B78" s="32"/>
      <c r="C78" s="29"/>
      <c r="D78" s="29"/>
      <c r="E78" s="29"/>
      <c r="F78" s="30"/>
      <c r="G78" s="29"/>
      <c r="I78" s="18"/>
      <c r="J78" s="31"/>
      <c r="K78" s="31"/>
      <c r="L78" s="29"/>
    </row>
    <row r="79">
      <c r="A79" s="31"/>
      <c r="B79" s="24"/>
      <c r="C79" s="29"/>
      <c r="D79" s="29"/>
      <c r="E79" s="29"/>
      <c r="F79" s="30"/>
      <c r="G79" s="29"/>
      <c r="I79" s="18"/>
      <c r="J79" s="31"/>
      <c r="K79" s="31"/>
      <c r="L79" s="29"/>
    </row>
    <row r="80">
      <c r="A80" s="29"/>
      <c r="B80" s="23"/>
      <c r="C80" s="29"/>
      <c r="D80" s="29"/>
      <c r="E80" s="29"/>
      <c r="F80" s="30"/>
      <c r="G80" s="29"/>
      <c r="I80" s="18"/>
      <c r="J80" s="29"/>
      <c r="K80" s="29"/>
      <c r="L80" s="29"/>
    </row>
    <row r="81">
      <c r="A81" s="31"/>
      <c r="B81" s="24"/>
      <c r="C81" s="29"/>
      <c r="D81" s="29"/>
      <c r="E81" s="29"/>
      <c r="F81" s="30"/>
      <c r="G81" s="29"/>
      <c r="I81" s="18"/>
      <c r="J81" s="31"/>
      <c r="K81" s="31"/>
      <c r="L81" s="29"/>
    </row>
    <row r="82">
      <c r="A82" s="31"/>
      <c r="B82" s="24"/>
      <c r="C82" s="29"/>
      <c r="D82" s="29"/>
      <c r="E82" s="29"/>
      <c r="F82" s="30"/>
      <c r="G82" s="29"/>
      <c r="I82" s="18"/>
      <c r="J82" s="31"/>
      <c r="K82" s="31"/>
      <c r="L82" s="29"/>
    </row>
    <row r="83">
      <c r="A83" s="31"/>
      <c r="B83" s="24"/>
      <c r="C83" s="29"/>
      <c r="D83" s="29"/>
      <c r="E83" s="29"/>
      <c r="F83" s="30"/>
      <c r="G83" s="29"/>
      <c r="I83" s="18"/>
      <c r="J83" s="31"/>
      <c r="K83" s="31"/>
      <c r="L83" s="29"/>
    </row>
    <row r="84">
      <c r="A84" s="31"/>
      <c r="B84" s="24"/>
      <c r="C84" s="29"/>
      <c r="D84" s="29"/>
      <c r="E84" s="29"/>
      <c r="F84" s="30"/>
      <c r="G84" s="29"/>
      <c r="I84" s="18"/>
      <c r="J84" s="31"/>
      <c r="K84" s="31"/>
      <c r="L84" s="29"/>
    </row>
    <row r="85">
      <c r="A85" s="29"/>
      <c r="B85" s="23"/>
      <c r="C85" s="29"/>
      <c r="D85" s="29"/>
      <c r="E85" s="29"/>
      <c r="F85" s="30"/>
      <c r="G85" s="29"/>
      <c r="I85" s="18"/>
      <c r="J85" s="29"/>
      <c r="K85" s="29"/>
      <c r="L85" s="29"/>
    </row>
    <row r="86">
      <c r="A86" s="31"/>
      <c r="B86" s="24"/>
      <c r="C86" s="29"/>
      <c r="D86" s="29"/>
      <c r="E86" s="29"/>
      <c r="F86" s="30"/>
      <c r="G86" s="29"/>
      <c r="I86" s="18"/>
      <c r="J86" s="31"/>
      <c r="K86" s="31"/>
      <c r="L86" s="29"/>
    </row>
    <row r="87">
      <c r="A87" s="31"/>
      <c r="B87" s="24"/>
      <c r="C87" s="29"/>
      <c r="D87" s="29"/>
      <c r="E87" s="29"/>
      <c r="F87" s="30"/>
      <c r="G87" s="29"/>
      <c r="I87" s="18"/>
      <c r="J87" s="31"/>
      <c r="K87" s="31"/>
      <c r="L87" s="29"/>
    </row>
    <row r="88">
      <c r="A88" s="31"/>
      <c r="B88" s="24"/>
      <c r="C88" s="29"/>
      <c r="D88" s="29"/>
      <c r="E88" s="29"/>
      <c r="F88" s="30"/>
      <c r="G88" s="29"/>
      <c r="I88" s="18"/>
      <c r="J88" s="31"/>
      <c r="K88" s="31"/>
      <c r="L88" s="29"/>
    </row>
    <row r="89">
      <c r="A89" s="31"/>
      <c r="B89" s="24"/>
      <c r="C89" s="29"/>
      <c r="D89" s="29"/>
      <c r="E89" s="29"/>
      <c r="F89" s="30"/>
      <c r="G89" s="29"/>
      <c r="I89" s="18"/>
      <c r="J89" s="31"/>
      <c r="K89" s="31"/>
      <c r="L89" s="29"/>
    </row>
    <row r="90">
      <c r="A90" s="29"/>
      <c r="B90" s="23"/>
      <c r="C90" s="29"/>
      <c r="D90" s="29"/>
      <c r="E90" s="29"/>
      <c r="F90" s="30"/>
      <c r="G90" s="29"/>
      <c r="I90" s="18"/>
      <c r="J90" s="29"/>
      <c r="K90" s="29"/>
      <c r="L90" s="29"/>
    </row>
    <row r="91">
      <c r="A91" s="31"/>
      <c r="B91" s="24"/>
      <c r="C91" s="29"/>
      <c r="D91" s="29"/>
      <c r="E91" s="29"/>
      <c r="F91" s="30"/>
      <c r="G91" s="29"/>
      <c r="I91" s="18"/>
      <c r="J91" s="31"/>
      <c r="K91" s="31"/>
      <c r="L91" s="29"/>
    </row>
    <row r="92">
      <c r="A92" s="31"/>
      <c r="B92" s="24"/>
      <c r="C92" s="29"/>
      <c r="D92" s="29"/>
      <c r="E92" s="29"/>
      <c r="F92" s="30"/>
      <c r="G92" s="29"/>
      <c r="I92" s="18"/>
      <c r="J92" s="31"/>
      <c r="K92" s="31"/>
      <c r="L92" s="29"/>
    </row>
    <row r="93">
      <c r="A93" s="31"/>
      <c r="B93" s="24"/>
      <c r="C93" s="29"/>
      <c r="D93" s="29"/>
      <c r="E93" s="29"/>
      <c r="F93" s="30"/>
      <c r="G93" s="29"/>
      <c r="I93" s="18"/>
      <c r="J93" s="31"/>
      <c r="K93" s="31"/>
      <c r="L93" s="29"/>
    </row>
    <row r="94">
      <c r="A94" s="31"/>
      <c r="B94" s="24"/>
      <c r="C94" s="29"/>
      <c r="D94" s="29"/>
      <c r="E94" s="29"/>
      <c r="F94" s="30"/>
      <c r="G94" s="29"/>
      <c r="I94" s="18"/>
      <c r="J94" s="31"/>
      <c r="K94" s="31"/>
      <c r="L94" s="29"/>
    </row>
    <row r="95">
      <c r="A95" s="29"/>
      <c r="B95" s="23"/>
      <c r="C95" s="29"/>
      <c r="D95" s="29"/>
      <c r="E95" s="29"/>
      <c r="F95" s="30"/>
      <c r="G95" s="29"/>
      <c r="I95" s="18"/>
      <c r="J95" s="29"/>
      <c r="K95" s="29"/>
      <c r="L95" s="29"/>
    </row>
    <row r="96">
      <c r="A96" s="31"/>
      <c r="B96" s="24"/>
      <c r="C96" s="29"/>
      <c r="D96" s="29"/>
      <c r="E96" s="29"/>
      <c r="F96" s="30"/>
      <c r="G96" s="29"/>
      <c r="I96" s="18"/>
      <c r="J96" s="31"/>
      <c r="K96" s="31"/>
      <c r="L96" s="29"/>
    </row>
    <row r="97">
      <c r="A97" s="31"/>
      <c r="B97" s="24"/>
      <c r="C97" s="29"/>
      <c r="D97" s="29"/>
      <c r="E97" s="29"/>
      <c r="F97" s="30"/>
      <c r="G97" s="29"/>
      <c r="I97" s="18"/>
      <c r="J97" s="31"/>
      <c r="K97" s="31"/>
      <c r="L97" s="29"/>
    </row>
    <row r="98">
      <c r="A98" s="31"/>
      <c r="B98" s="24"/>
      <c r="C98" s="29"/>
      <c r="D98" s="29"/>
      <c r="E98" s="29"/>
      <c r="F98" s="30"/>
      <c r="G98" s="29"/>
      <c r="I98" s="18"/>
      <c r="J98" s="31"/>
      <c r="K98" s="31"/>
      <c r="L98" s="29"/>
    </row>
    <row r="99">
      <c r="A99" s="31"/>
      <c r="B99" s="24"/>
      <c r="C99" s="29"/>
      <c r="D99" s="29"/>
      <c r="E99" s="29"/>
      <c r="F99" s="30"/>
      <c r="G99" s="29"/>
      <c r="I99" s="18"/>
      <c r="J99" s="31"/>
      <c r="K99" s="31"/>
      <c r="L99" s="29"/>
    </row>
    <row r="100">
      <c r="A100" s="34"/>
      <c r="B100" s="23"/>
      <c r="C100" s="29"/>
      <c r="D100" s="34"/>
      <c r="E100" s="29"/>
      <c r="F100" s="30"/>
      <c r="G100" s="34"/>
      <c r="I100" s="18"/>
      <c r="J100" s="34"/>
      <c r="K100" s="34"/>
      <c r="L100" s="34"/>
    </row>
    <row r="101">
      <c r="A101" s="35"/>
      <c r="B101" s="36"/>
      <c r="C101" s="37"/>
      <c r="D101" s="37"/>
      <c r="E101" s="37"/>
      <c r="F101" s="38"/>
      <c r="G101" s="37"/>
      <c r="I101" s="18"/>
      <c r="J101" s="35"/>
      <c r="K101" s="35"/>
      <c r="L101" s="37"/>
    </row>
    <row r="102">
      <c r="F102" s="18"/>
      <c r="I102" s="18"/>
    </row>
    <row r="103">
      <c r="F103" s="18"/>
      <c r="I103" s="18"/>
    </row>
    <row r="104">
      <c r="F104" s="18"/>
      <c r="I104" s="18"/>
    </row>
    <row r="105">
      <c r="F105" s="18"/>
      <c r="I105" s="18"/>
    </row>
    <row r="106">
      <c r="F106" s="18"/>
      <c r="I106" s="18"/>
    </row>
    <row r="107">
      <c r="F107" s="18"/>
      <c r="I107" s="18"/>
    </row>
    <row r="108">
      <c r="F108" s="18"/>
      <c r="I108" s="18"/>
    </row>
    <row r="109">
      <c r="F109" s="18"/>
      <c r="I109" s="18"/>
    </row>
    <row r="110">
      <c r="F110" s="18"/>
      <c r="I110" s="18"/>
    </row>
    <row r="111">
      <c r="F111" s="18"/>
      <c r="I111" s="18"/>
    </row>
    <row r="112">
      <c r="F112" s="18"/>
      <c r="I112" s="18"/>
    </row>
    <row r="113">
      <c r="F113" s="18"/>
      <c r="I113" s="18"/>
    </row>
    <row r="114">
      <c r="F114" s="18"/>
      <c r="I114" s="18"/>
    </row>
    <row r="115">
      <c r="F115" s="18"/>
      <c r="I115" s="18"/>
    </row>
    <row r="116">
      <c r="F116" s="18"/>
      <c r="I116" s="18"/>
    </row>
    <row r="117">
      <c r="F117" s="18"/>
      <c r="I117" s="18"/>
    </row>
    <row r="118">
      <c r="F118" s="18"/>
      <c r="I118" s="18"/>
    </row>
    <row r="119">
      <c r="F119" s="18"/>
      <c r="I119" s="18"/>
    </row>
    <row r="120">
      <c r="F120" s="18"/>
      <c r="I120" s="18"/>
    </row>
    <row r="121">
      <c r="F121" s="18"/>
      <c r="I121" s="18"/>
    </row>
    <row r="122">
      <c r="F122" s="18"/>
      <c r="I122" s="18"/>
    </row>
    <row r="123">
      <c r="F123" s="18"/>
      <c r="I123" s="18"/>
    </row>
    <row r="124">
      <c r="F124" s="18"/>
      <c r="I124" s="18"/>
    </row>
    <row r="125">
      <c r="F125" s="18"/>
      <c r="I125" s="18"/>
    </row>
    <row r="126">
      <c r="F126" s="18"/>
      <c r="I126" s="18"/>
    </row>
    <row r="127">
      <c r="F127" s="18"/>
      <c r="I127" s="18"/>
    </row>
    <row r="128">
      <c r="F128" s="18"/>
      <c r="I128" s="18"/>
    </row>
    <row r="129">
      <c r="F129" s="18"/>
      <c r="I129" s="18"/>
    </row>
    <row r="130">
      <c r="F130" s="18"/>
      <c r="I130" s="18"/>
    </row>
    <row r="131">
      <c r="F131" s="18"/>
      <c r="I131" s="18"/>
    </row>
    <row r="132">
      <c r="F132" s="18"/>
      <c r="I132" s="18"/>
    </row>
    <row r="133">
      <c r="F133" s="18"/>
      <c r="I133" s="18"/>
    </row>
    <row r="134">
      <c r="F134" s="18"/>
      <c r="I134" s="18"/>
    </row>
    <row r="135">
      <c r="F135" s="18"/>
      <c r="I135" s="18"/>
    </row>
    <row r="136">
      <c r="F136" s="18"/>
      <c r="I136" s="18"/>
    </row>
    <row r="137">
      <c r="F137" s="18"/>
      <c r="I137" s="18"/>
    </row>
    <row r="138">
      <c r="F138" s="18"/>
      <c r="I138" s="18"/>
    </row>
    <row r="139">
      <c r="F139" s="18"/>
      <c r="I139" s="18"/>
    </row>
    <row r="140">
      <c r="F140" s="18"/>
      <c r="I140" s="18"/>
    </row>
    <row r="141">
      <c r="F141" s="18"/>
      <c r="I141" s="18"/>
    </row>
    <row r="142">
      <c r="F142" s="18"/>
      <c r="I142" s="18"/>
    </row>
    <row r="143">
      <c r="F143" s="18"/>
      <c r="I143" s="18"/>
    </row>
    <row r="144">
      <c r="F144" s="18"/>
      <c r="I144" s="18"/>
    </row>
    <row r="145">
      <c r="F145" s="18"/>
      <c r="I145" s="18"/>
    </row>
    <row r="146">
      <c r="F146" s="18"/>
      <c r="I146" s="18"/>
    </row>
    <row r="147">
      <c r="F147" s="18"/>
      <c r="I147" s="18"/>
    </row>
    <row r="148">
      <c r="F148" s="18"/>
      <c r="I148" s="18"/>
    </row>
    <row r="149">
      <c r="F149" s="18"/>
      <c r="I149" s="18"/>
    </row>
    <row r="150">
      <c r="F150" s="18"/>
      <c r="I150" s="18"/>
    </row>
    <row r="151">
      <c r="F151" s="18"/>
      <c r="I151" s="18"/>
    </row>
    <row r="152">
      <c r="F152" s="18"/>
      <c r="I152" s="18"/>
    </row>
    <row r="153">
      <c r="F153" s="18"/>
      <c r="I153" s="18"/>
    </row>
    <row r="154">
      <c r="F154" s="18"/>
      <c r="I154" s="18"/>
    </row>
    <row r="155">
      <c r="F155" s="18"/>
      <c r="I155" s="18"/>
    </row>
    <row r="156">
      <c r="F156" s="18"/>
      <c r="I156" s="18"/>
    </row>
    <row r="157">
      <c r="F157" s="18"/>
      <c r="I157" s="18"/>
    </row>
    <row r="158">
      <c r="F158" s="18"/>
      <c r="I158" s="18"/>
    </row>
    <row r="159">
      <c r="F159" s="18"/>
      <c r="I159" s="18"/>
    </row>
    <row r="160">
      <c r="F160" s="18"/>
      <c r="I160" s="18"/>
    </row>
    <row r="161">
      <c r="F161" s="18"/>
      <c r="I161" s="18"/>
    </row>
    <row r="162">
      <c r="F162" s="18"/>
      <c r="I162" s="18"/>
    </row>
    <row r="163">
      <c r="F163" s="18"/>
      <c r="I163" s="18"/>
    </row>
    <row r="164">
      <c r="F164" s="18"/>
      <c r="I164" s="18"/>
    </row>
    <row r="165">
      <c r="F165" s="18"/>
      <c r="I165" s="18"/>
    </row>
    <row r="166">
      <c r="F166" s="18"/>
      <c r="I166" s="18"/>
    </row>
    <row r="167">
      <c r="F167" s="18"/>
      <c r="I167" s="18"/>
    </row>
    <row r="168">
      <c r="F168" s="18"/>
      <c r="I168" s="18"/>
    </row>
    <row r="169">
      <c r="F169" s="18"/>
      <c r="I169" s="18"/>
    </row>
    <row r="170">
      <c r="F170" s="18"/>
      <c r="I170" s="18"/>
    </row>
    <row r="171">
      <c r="F171" s="18"/>
      <c r="I171" s="18"/>
    </row>
    <row r="172">
      <c r="F172" s="18"/>
      <c r="I172" s="18"/>
    </row>
    <row r="173">
      <c r="F173" s="18"/>
      <c r="I173" s="18"/>
    </row>
    <row r="174">
      <c r="F174" s="18"/>
      <c r="I174" s="18"/>
    </row>
    <row r="175">
      <c r="F175" s="18"/>
      <c r="I175" s="18"/>
    </row>
    <row r="176">
      <c r="F176" s="18"/>
      <c r="I176" s="18"/>
    </row>
    <row r="177">
      <c r="F177" s="18"/>
      <c r="I177" s="18"/>
    </row>
    <row r="178">
      <c r="F178" s="18"/>
      <c r="I178" s="18"/>
    </row>
    <row r="179">
      <c r="F179" s="18"/>
      <c r="I179" s="18"/>
    </row>
    <row r="180">
      <c r="F180" s="18"/>
      <c r="I180" s="18"/>
    </row>
    <row r="181">
      <c r="F181" s="18"/>
      <c r="I181" s="18"/>
    </row>
    <row r="182">
      <c r="F182" s="18"/>
      <c r="I182" s="18"/>
    </row>
    <row r="183">
      <c r="F183" s="18"/>
      <c r="I183" s="18"/>
    </row>
    <row r="184">
      <c r="F184" s="18"/>
      <c r="I184" s="18"/>
    </row>
    <row r="185">
      <c r="F185" s="18"/>
      <c r="I185" s="18"/>
    </row>
    <row r="186">
      <c r="F186" s="18"/>
      <c r="I186" s="18"/>
    </row>
    <row r="187">
      <c r="F187" s="18"/>
      <c r="I187" s="18"/>
    </row>
    <row r="188">
      <c r="F188" s="18"/>
      <c r="I188" s="18"/>
    </row>
    <row r="189">
      <c r="F189" s="18"/>
      <c r="I189" s="18"/>
    </row>
    <row r="190">
      <c r="F190" s="18"/>
      <c r="I190" s="18"/>
    </row>
    <row r="191">
      <c r="F191" s="18"/>
      <c r="I191" s="18"/>
    </row>
    <row r="192">
      <c r="F192" s="18"/>
      <c r="I192" s="18"/>
    </row>
    <row r="193">
      <c r="F193" s="18"/>
      <c r="I193" s="18"/>
    </row>
    <row r="194">
      <c r="F194" s="18"/>
      <c r="I194" s="18"/>
    </row>
    <row r="195">
      <c r="F195" s="18"/>
      <c r="I195" s="18"/>
    </row>
    <row r="196">
      <c r="F196" s="18"/>
      <c r="I196" s="18"/>
    </row>
    <row r="197">
      <c r="F197" s="18"/>
      <c r="I197" s="18"/>
    </row>
    <row r="198">
      <c r="F198" s="18"/>
      <c r="I198" s="18"/>
    </row>
    <row r="199">
      <c r="F199" s="18"/>
      <c r="I199" s="18"/>
    </row>
    <row r="200">
      <c r="F200" s="18"/>
      <c r="I200" s="18"/>
    </row>
    <row r="201">
      <c r="F201" s="18"/>
      <c r="I201" s="18"/>
    </row>
    <row r="202">
      <c r="F202" s="18"/>
      <c r="I202" s="18"/>
    </row>
    <row r="203">
      <c r="F203" s="18"/>
      <c r="I203" s="18"/>
    </row>
    <row r="204">
      <c r="F204" s="18"/>
      <c r="I204" s="18"/>
    </row>
    <row r="205">
      <c r="F205" s="18"/>
      <c r="I205" s="18"/>
    </row>
    <row r="206">
      <c r="F206" s="18"/>
      <c r="I206" s="18"/>
    </row>
    <row r="207">
      <c r="F207" s="18"/>
      <c r="I207" s="18"/>
    </row>
    <row r="208">
      <c r="F208" s="18"/>
      <c r="I208" s="18"/>
    </row>
    <row r="209">
      <c r="F209" s="18"/>
      <c r="I209" s="18"/>
    </row>
    <row r="210">
      <c r="F210" s="18"/>
      <c r="I210" s="18"/>
    </row>
    <row r="211">
      <c r="F211" s="18"/>
      <c r="I211" s="18"/>
    </row>
    <row r="212">
      <c r="F212" s="18"/>
      <c r="I212" s="18"/>
    </row>
    <row r="213">
      <c r="F213" s="18"/>
      <c r="I213" s="18"/>
    </row>
    <row r="214">
      <c r="F214" s="18"/>
      <c r="I214" s="18"/>
    </row>
    <row r="215">
      <c r="F215" s="18"/>
      <c r="I215" s="18"/>
    </row>
    <row r="216">
      <c r="F216" s="18"/>
      <c r="I216" s="18"/>
    </row>
    <row r="217">
      <c r="F217" s="18"/>
      <c r="I217" s="18"/>
    </row>
    <row r="218">
      <c r="F218" s="18"/>
      <c r="I218" s="18"/>
    </row>
    <row r="219">
      <c r="F219" s="18"/>
      <c r="I219" s="18"/>
    </row>
    <row r="220">
      <c r="F220" s="18"/>
      <c r="I220" s="18"/>
    </row>
    <row r="221">
      <c r="F221" s="18"/>
      <c r="I221" s="18"/>
    </row>
    <row r="222">
      <c r="F222" s="18"/>
      <c r="I222" s="18"/>
    </row>
    <row r="223">
      <c r="F223" s="18"/>
      <c r="I223" s="18"/>
    </row>
    <row r="224">
      <c r="F224" s="18"/>
      <c r="I224" s="18"/>
    </row>
    <row r="225">
      <c r="F225" s="18"/>
      <c r="I225" s="18"/>
    </row>
    <row r="226">
      <c r="F226" s="18"/>
      <c r="I226" s="18"/>
    </row>
    <row r="227">
      <c r="F227" s="18"/>
      <c r="I227" s="18"/>
    </row>
    <row r="228">
      <c r="F228" s="18"/>
      <c r="I228" s="18"/>
    </row>
    <row r="229">
      <c r="F229" s="18"/>
      <c r="I229" s="18"/>
    </row>
    <row r="230">
      <c r="F230" s="18"/>
      <c r="I230" s="18"/>
    </row>
    <row r="231">
      <c r="F231" s="18"/>
      <c r="I231" s="18"/>
    </row>
    <row r="232">
      <c r="F232" s="18"/>
      <c r="I232" s="18"/>
    </row>
    <row r="233">
      <c r="F233" s="18"/>
      <c r="I233" s="18"/>
    </row>
    <row r="234">
      <c r="F234" s="18"/>
      <c r="I234" s="18"/>
    </row>
    <row r="235">
      <c r="F235" s="18"/>
      <c r="I235" s="18"/>
    </row>
    <row r="236">
      <c r="F236" s="18"/>
      <c r="I236" s="18"/>
    </row>
    <row r="237">
      <c r="F237" s="18"/>
      <c r="I237" s="18"/>
    </row>
    <row r="238">
      <c r="F238" s="18"/>
      <c r="I238" s="18"/>
    </row>
    <row r="239">
      <c r="F239" s="18"/>
      <c r="I239" s="18"/>
    </row>
    <row r="240">
      <c r="F240" s="18"/>
      <c r="I240" s="18"/>
    </row>
    <row r="241">
      <c r="F241" s="18"/>
      <c r="I241" s="18"/>
    </row>
    <row r="242">
      <c r="F242" s="18"/>
      <c r="I242" s="18"/>
    </row>
    <row r="243">
      <c r="F243" s="18"/>
      <c r="I243" s="18"/>
    </row>
    <row r="244">
      <c r="F244" s="18"/>
      <c r="I244" s="18"/>
    </row>
    <row r="245">
      <c r="F245" s="18"/>
      <c r="I245" s="18"/>
    </row>
    <row r="246">
      <c r="F246" s="18"/>
      <c r="I246" s="18"/>
    </row>
    <row r="247">
      <c r="F247" s="18"/>
      <c r="I247" s="18"/>
    </row>
    <row r="248">
      <c r="F248" s="18"/>
      <c r="I248" s="18"/>
    </row>
    <row r="249">
      <c r="F249" s="18"/>
      <c r="I249" s="18"/>
    </row>
    <row r="250">
      <c r="F250" s="18"/>
      <c r="I250" s="18"/>
    </row>
    <row r="251">
      <c r="F251" s="18"/>
      <c r="I251" s="18"/>
    </row>
    <row r="252">
      <c r="F252" s="18"/>
      <c r="I252" s="18"/>
    </row>
    <row r="253">
      <c r="F253" s="18"/>
      <c r="I253" s="18"/>
    </row>
    <row r="254">
      <c r="F254" s="18"/>
      <c r="I254" s="18"/>
    </row>
    <row r="255">
      <c r="F255" s="18"/>
      <c r="I255" s="18"/>
    </row>
    <row r="256">
      <c r="F256" s="18"/>
      <c r="I256" s="18"/>
    </row>
    <row r="257">
      <c r="F257" s="18"/>
      <c r="I257" s="18"/>
    </row>
    <row r="258">
      <c r="F258" s="18"/>
      <c r="I258" s="18"/>
    </row>
    <row r="259">
      <c r="F259" s="18"/>
      <c r="I259" s="18"/>
    </row>
    <row r="260">
      <c r="F260" s="18"/>
      <c r="I260" s="18"/>
    </row>
    <row r="261">
      <c r="F261" s="18"/>
      <c r="I261" s="18"/>
    </row>
    <row r="262">
      <c r="F262" s="18"/>
      <c r="I262" s="18"/>
    </row>
    <row r="263">
      <c r="F263" s="18"/>
      <c r="I263" s="18"/>
    </row>
    <row r="264">
      <c r="F264" s="18"/>
      <c r="I264" s="18"/>
    </row>
    <row r="265">
      <c r="F265" s="18"/>
      <c r="I265" s="18"/>
    </row>
    <row r="266">
      <c r="F266" s="18"/>
      <c r="I266" s="18"/>
    </row>
    <row r="267">
      <c r="F267" s="18"/>
      <c r="I267" s="18"/>
    </row>
    <row r="268">
      <c r="F268" s="18"/>
      <c r="I268" s="18"/>
    </row>
    <row r="269">
      <c r="F269" s="18"/>
      <c r="I269" s="18"/>
    </row>
    <row r="270">
      <c r="F270" s="18"/>
      <c r="I270" s="18"/>
    </row>
    <row r="271">
      <c r="F271" s="18"/>
      <c r="I271" s="18"/>
    </row>
    <row r="272">
      <c r="F272" s="18"/>
      <c r="I272" s="18"/>
    </row>
    <row r="273">
      <c r="F273" s="18"/>
      <c r="I273" s="18"/>
    </row>
    <row r="274">
      <c r="F274" s="18"/>
      <c r="I274" s="18"/>
    </row>
    <row r="275">
      <c r="F275" s="18"/>
      <c r="I275" s="18"/>
    </row>
    <row r="276">
      <c r="F276" s="18"/>
      <c r="I276" s="18"/>
    </row>
    <row r="277">
      <c r="F277" s="18"/>
      <c r="I277" s="18"/>
    </row>
    <row r="278">
      <c r="F278" s="18"/>
      <c r="I278" s="18"/>
    </row>
    <row r="279">
      <c r="F279" s="18"/>
      <c r="I279" s="18"/>
    </row>
    <row r="280">
      <c r="F280" s="18"/>
      <c r="I280" s="18"/>
    </row>
    <row r="281">
      <c r="F281" s="18"/>
      <c r="I281" s="18"/>
    </row>
    <row r="282">
      <c r="F282" s="18"/>
      <c r="I282" s="18"/>
    </row>
    <row r="283">
      <c r="F283" s="18"/>
      <c r="I283" s="18"/>
    </row>
    <row r="284">
      <c r="F284" s="18"/>
      <c r="I284" s="18"/>
    </row>
    <row r="285">
      <c r="F285" s="18"/>
      <c r="I285" s="18"/>
    </row>
    <row r="286">
      <c r="F286" s="18"/>
      <c r="I286" s="18"/>
    </row>
    <row r="287">
      <c r="F287" s="18"/>
      <c r="I287" s="18"/>
    </row>
    <row r="288">
      <c r="F288" s="18"/>
      <c r="I288" s="18"/>
    </row>
    <row r="289">
      <c r="F289" s="18"/>
      <c r="I289" s="18"/>
    </row>
    <row r="290">
      <c r="F290" s="18"/>
      <c r="I290" s="18"/>
    </row>
    <row r="291">
      <c r="F291" s="18"/>
      <c r="I291" s="18"/>
    </row>
    <row r="292">
      <c r="F292" s="18"/>
      <c r="I292" s="18"/>
    </row>
    <row r="293">
      <c r="F293" s="18"/>
      <c r="I293" s="18"/>
    </row>
    <row r="294">
      <c r="F294" s="18"/>
      <c r="I294" s="18"/>
    </row>
    <row r="295">
      <c r="F295" s="18"/>
      <c r="I295" s="18"/>
    </row>
    <row r="296">
      <c r="F296" s="18"/>
      <c r="I296" s="18"/>
    </row>
    <row r="297">
      <c r="F297" s="18"/>
      <c r="I297" s="18"/>
    </row>
    <row r="298">
      <c r="F298" s="18"/>
      <c r="I298" s="18"/>
    </row>
    <row r="299">
      <c r="F299" s="18"/>
      <c r="I299" s="18"/>
    </row>
    <row r="300">
      <c r="F300" s="18"/>
      <c r="I300" s="18"/>
    </row>
    <row r="301">
      <c r="F301" s="18"/>
      <c r="I301" s="18"/>
    </row>
    <row r="302">
      <c r="F302" s="18"/>
      <c r="I302" s="18"/>
    </row>
    <row r="303">
      <c r="F303" s="18"/>
      <c r="I303" s="18"/>
    </row>
    <row r="304">
      <c r="F304" s="18"/>
      <c r="I304" s="18"/>
    </row>
    <row r="305">
      <c r="F305" s="18"/>
      <c r="I305" s="18"/>
    </row>
    <row r="306">
      <c r="F306" s="18"/>
      <c r="I306" s="18"/>
    </row>
    <row r="307">
      <c r="F307" s="18"/>
      <c r="I307" s="18"/>
    </row>
    <row r="308">
      <c r="F308" s="18"/>
      <c r="I308" s="18"/>
    </row>
    <row r="309">
      <c r="F309" s="18"/>
      <c r="I309" s="18"/>
    </row>
    <row r="310">
      <c r="F310" s="18"/>
      <c r="I310" s="18"/>
    </row>
    <row r="311">
      <c r="F311" s="18"/>
      <c r="I311" s="18"/>
    </row>
    <row r="312">
      <c r="F312" s="18"/>
      <c r="I312" s="18"/>
    </row>
    <row r="313">
      <c r="F313" s="18"/>
      <c r="I313" s="18"/>
    </row>
    <row r="314">
      <c r="F314" s="18"/>
      <c r="I314" s="18"/>
    </row>
    <row r="315">
      <c r="F315" s="18"/>
      <c r="I315" s="18"/>
    </row>
    <row r="316">
      <c r="F316" s="18"/>
      <c r="I316" s="18"/>
    </row>
    <row r="317">
      <c r="F317" s="18"/>
      <c r="I317" s="18"/>
    </row>
    <row r="318">
      <c r="F318" s="18"/>
      <c r="I318" s="18"/>
    </row>
    <row r="319">
      <c r="F319" s="18"/>
      <c r="I319" s="18"/>
    </row>
    <row r="320">
      <c r="F320" s="18"/>
      <c r="I320" s="18"/>
    </row>
    <row r="321">
      <c r="F321" s="18"/>
      <c r="I321" s="18"/>
    </row>
    <row r="322">
      <c r="F322" s="18"/>
      <c r="I322" s="18"/>
    </row>
    <row r="323">
      <c r="F323" s="18"/>
      <c r="I323" s="18"/>
    </row>
    <row r="324">
      <c r="F324" s="18"/>
      <c r="I324" s="18"/>
    </row>
    <row r="325">
      <c r="F325" s="18"/>
      <c r="I325" s="18"/>
    </row>
    <row r="326">
      <c r="F326" s="18"/>
      <c r="I326" s="18"/>
    </row>
    <row r="327">
      <c r="F327" s="18"/>
      <c r="I327" s="18"/>
    </row>
    <row r="328">
      <c r="F328" s="18"/>
      <c r="I328" s="18"/>
    </row>
    <row r="329">
      <c r="F329" s="18"/>
      <c r="I329" s="18"/>
    </row>
    <row r="330">
      <c r="F330" s="18"/>
      <c r="I330" s="18"/>
    </row>
    <row r="331">
      <c r="F331" s="18"/>
      <c r="I331" s="18"/>
    </row>
    <row r="332">
      <c r="F332" s="18"/>
      <c r="I332" s="18"/>
    </row>
    <row r="333">
      <c r="F333" s="18"/>
      <c r="I333" s="18"/>
    </row>
    <row r="334">
      <c r="F334" s="18"/>
      <c r="I334" s="18"/>
    </row>
    <row r="335">
      <c r="F335" s="18"/>
      <c r="I335" s="18"/>
    </row>
    <row r="336">
      <c r="F336" s="18"/>
      <c r="I336" s="18"/>
    </row>
    <row r="337">
      <c r="F337" s="18"/>
      <c r="I337" s="18"/>
    </row>
    <row r="338">
      <c r="F338" s="18"/>
      <c r="I338" s="18"/>
    </row>
    <row r="339">
      <c r="F339" s="18"/>
      <c r="I339" s="18"/>
    </row>
    <row r="340">
      <c r="F340" s="18"/>
      <c r="I340" s="18"/>
    </row>
    <row r="341">
      <c r="F341" s="18"/>
      <c r="I341" s="18"/>
    </row>
    <row r="342">
      <c r="F342" s="18"/>
      <c r="I342" s="18"/>
    </row>
    <row r="343">
      <c r="F343" s="18"/>
      <c r="I343" s="18"/>
    </row>
    <row r="344">
      <c r="F344" s="18"/>
      <c r="I344" s="18"/>
    </row>
    <row r="345">
      <c r="F345" s="18"/>
      <c r="I345" s="18"/>
    </row>
    <row r="346">
      <c r="F346" s="18"/>
      <c r="I346" s="18"/>
    </row>
    <row r="347">
      <c r="F347" s="18"/>
      <c r="I347" s="18"/>
    </row>
    <row r="348">
      <c r="F348" s="18"/>
      <c r="I348" s="18"/>
    </row>
    <row r="349">
      <c r="F349" s="18"/>
      <c r="I349" s="18"/>
    </row>
    <row r="350">
      <c r="F350" s="18"/>
      <c r="I350" s="18"/>
    </row>
    <row r="351">
      <c r="F351" s="18"/>
      <c r="I351" s="18"/>
    </row>
    <row r="352">
      <c r="F352" s="18"/>
      <c r="I352" s="18"/>
    </row>
    <row r="353">
      <c r="F353" s="18"/>
      <c r="I353" s="18"/>
    </row>
    <row r="354">
      <c r="F354" s="18"/>
      <c r="I354" s="18"/>
    </row>
    <row r="355">
      <c r="F355" s="18"/>
      <c r="I355" s="18"/>
    </row>
    <row r="356">
      <c r="F356" s="18"/>
      <c r="I356" s="18"/>
    </row>
    <row r="357">
      <c r="F357" s="18"/>
      <c r="I357" s="18"/>
    </row>
    <row r="358">
      <c r="F358" s="18"/>
      <c r="I358" s="18"/>
    </row>
    <row r="359">
      <c r="F359" s="18"/>
      <c r="I359" s="18"/>
    </row>
    <row r="360">
      <c r="F360" s="18"/>
      <c r="I360" s="18"/>
    </row>
    <row r="361">
      <c r="F361" s="18"/>
      <c r="I361" s="18"/>
    </row>
    <row r="362">
      <c r="F362" s="18"/>
      <c r="I362" s="18"/>
    </row>
    <row r="363">
      <c r="F363" s="18"/>
      <c r="I363" s="18"/>
    </row>
    <row r="364">
      <c r="F364" s="18"/>
      <c r="I364" s="18"/>
    </row>
    <row r="365">
      <c r="F365" s="18"/>
      <c r="I365" s="18"/>
    </row>
    <row r="366">
      <c r="F366" s="18"/>
      <c r="I366" s="18"/>
    </row>
    <row r="367">
      <c r="F367" s="18"/>
      <c r="I367" s="18"/>
    </row>
    <row r="368">
      <c r="F368" s="18"/>
      <c r="I368" s="18"/>
    </row>
    <row r="369">
      <c r="F369" s="18"/>
      <c r="I369" s="18"/>
    </row>
    <row r="370">
      <c r="F370" s="18"/>
      <c r="I370" s="18"/>
    </row>
    <row r="371">
      <c r="F371" s="18"/>
      <c r="I371" s="18"/>
    </row>
    <row r="372">
      <c r="F372" s="18"/>
      <c r="I372" s="18"/>
    </row>
    <row r="373">
      <c r="F373" s="18"/>
      <c r="I373" s="18"/>
    </row>
    <row r="374">
      <c r="F374" s="18"/>
      <c r="I374" s="18"/>
    </row>
    <row r="375">
      <c r="F375" s="18"/>
      <c r="I375" s="18"/>
    </row>
    <row r="376">
      <c r="F376" s="18"/>
      <c r="I376" s="18"/>
    </row>
    <row r="377">
      <c r="F377" s="18"/>
      <c r="I377" s="18"/>
    </row>
    <row r="378">
      <c r="F378" s="18"/>
      <c r="I378" s="18"/>
    </row>
    <row r="379">
      <c r="F379" s="18"/>
      <c r="I379" s="18"/>
    </row>
    <row r="380">
      <c r="F380" s="18"/>
      <c r="I380" s="18"/>
    </row>
    <row r="381">
      <c r="F381" s="18"/>
      <c r="I381" s="18"/>
    </row>
    <row r="382">
      <c r="F382" s="18"/>
      <c r="I382" s="18"/>
    </row>
    <row r="383">
      <c r="F383" s="18"/>
      <c r="I383" s="18"/>
    </row>
    <row r="384">
      <c r="F384" s="18"/>
      <c r="I384" s="18"/>
    </row>
    <row r="385">
      <c r="F385" s="18"/>
      <c r="I385" s="18"/>
    </row>
    <row r="386">
      <c r="F386" s="18"/>
      <c r="I386" s="18"/>
    </row>
    <row r="387">
      <c r="F387" s="18"/>
      <c r="I387" s="18"/>
    </row>
    <row r="388">
      <c r="F388" s="18"/>
      <c r="I388" s="18"/>
    </row>
    <row r="389">
      <c r="F389" s="18"/>
      <c r="I389" s="18"/>
    </row>
    <row r="390">
      <c r="F390" s="18"/>
      <c r="I390" s="18"/>
    </row>
    <row r="391">
      <c r="F391" s="18"/>
      <c r="I391" s="18"/>
    </row>
    <row r="392">
      <c r="F392" s="18"/>
      <c r="I392" s="18"/>
    </row>
    <row r="393">
      <c r="F393" s="18"/>
      <c r="I393" s="18"/>
    </row>
    <row r="394">
      <c r="F394" s="18"/>
      <c r="I394" s="18"/>
    </row>
    <row r="395">
      <c r="F395" s="18"/>
      <c r="I395" s="18"/>
    </row>
    <row r="396">
      <c r="F396" s="18"/>
      <c r="I396" s="18"/>
    </row>
    <row r="397">
      <c r="F397" s="18"/>
      <c r="I397" s="18"/>
    </row>
    <row r="398">
      <c r="F398" s="18"/>
      <c r="I398" s="18"/>
    </row>
    <row r="399">
      <c r="F399" s="18"/>
      <c r="I399" s="18"/>
    </row>
    <row r="400">
      <c r="F400" s="18"/>
      <c r="I400" s="18"/>
    </row>
    <row r="401">
      <c r="F401" s="18"/>
      <c r="I401" s="18"/>
    </row>
    <row r="402">
      <c r="F402" s="18"/>
      <c r="I402" s="18"/>
    </row>
    <row r="403">
      <c r="F403" s="18"/>
      <c r="I403" s="18"/>
    </row>
    <row r="404">
      <c r="F404" s="18"/>
      <c r="I404" s="18"/>
    </row>
    <row r="405">
      <c r="F405" s="18"/>
      <c r="I405" s="18"/>
    </row>
    <row r="406">
      <c r="F406" s="18"/>
      <c r="I406" s="18"/>
    </row>
    <row r="407">
      <c r="F407" s="18"/>
      <c r="I407" s="18"/>
    </row>
    <row r="408">
      <c r="F408" s="18"/>
      <c r="I408" s="18"/>
    </row>
    <row r="409">
      <c r="F409" s="18"/>
      <c r="I409" s="18"/>
    </row>
    <row r="410">
      <c r="F410" s="18"/>
      <c r="I410" s="18"/>
    </row>
    <row r="411">
      <c r="F411" s="18"/>
      <c r="I411" s="18"/>
    </row>
    <row r="412">
      <c r="F412" s="18"/>
      <c r="I412" s="18"/>
    </row>
    <row r="413">
      <c r="F413" s="18"/>
      <c r="I413" s="18"/>
    </row>
    <row r="414">
      <c r="F414" s="18"/>
      <c r="I414" s="18"/>
    </row>
    <row r="415">
      <c r="F415" s="18"/>
      <c r="I415" s="18"/>
    </row>
    <row r="416">
      <c r="F416" s="18"/>
      <c r="I416" s="18"/>
    </row>
    <row r="417">
      <c r="F417" s="18"/>
      <c r="I417" s="18"/>
    </row>
    <row r="418">
      <c r="F418" s="18"/>
      <c r="I418" s="18"/>
    </row>
    <row r="419">
      <c r="F419" s="18"/>
      <c r="I419" s="18"/>
    </row>
    <row r="420">
      <c r="F420" s="18"/>
      <c r="I420" s="18"/>
    </row>
    <row r="421">
      <c r="F421" s="18"/>
      <c r="I421" s="18"/>
    </row>
    <row r="422">
      <c r="F422" s="18"/>
      <c r="I422" s="18"/>
    </row>
    <row r="423">
      <c r="F423" s="18"/>
      <c r="I423" s="18"/>
    </row>
    <row r="424">
      <c r="F424" s="18"/>
      <c r="I424" s="18"/>
    </row>
    <row r="425">
      <c r="F425" s="18"/>
      <c r="I425" s="18"/>
    </row>
    <row r="426">
      <c r="F426" s="18"/>
      <c r="I426" s="18"/>
    </row>
    <row r="427">
      <c r="F427" s="18"/>
      <c r="I427" s="18"/>
    </row>
    <row r="428">
      <c r="F428" s="18"/>
      <c r="I428" s="18"/>
    </row>
    <row r="429">
      <c r="F429" s="18"/>
      <c r="I429" s="18"/>
    </row>
    <row r="430">
      <c r="F430" s="18"/>
      <c r="I430" s="18"/>
    </row>
    <row r="431">
      <c r="F431" s="18"/>
      <c r="I431" s="18"/>
    </row>
    <row r="432">
      <c r="F432" s="18"/>
      <c r="I432" s="18"/>
    </row>
    <row r="433">
      <c r="F433" s="18"/>
      <c r="I433" s="18"/>
    </row>
    <row r="434">
      <c r="F434" s="18"/>
      <c r="I434" s="18"/>
    </row>
    <row r="435">
      <c r="F435" s="18"/>
      <c r="I435" s="18"/>
    </row>
    <row r="436">
      <c r="F436" s="18"/>
      <c r="I436" s="18"/>
    </row>
    <row r="437">
      <c r="F437" s="18"/>
      <c r="I437" s="18"/>
    </row>
    <row r="438">
      <c r="F438" s="18"/>
      <c r="I438" s="18"/>
    </row>
    <row r="439">
      <c r="F439" s="18"/>
      <c r="I439" s="18"/>
    </row>
    <row r="440">
      <c r="F440" s="18"/>
      <c r="I440" s="18"/>
    </row>
    <row r="441">
      <c r="F441" s="18"/>
      <c r="I441" s="18"/>
    </row>
    <row r="442">
      <c r="F442" s="18"/>
      <c r="I442" s="18"/>
    </row>
    <row r="443">
      <c r="F443" s="18"/>
      <c r="I443" s="18"/>
    </row>
    <row r="444">
      <c r="F444" s="18"/>
      <c r="I444" s="18"/>
    </row>
    <row r="445">
      <c r="F445" s="18"/>
      <c r="I445" s="18"/>
    </row>
    <row r="446">
      <c r="F446" s="18"/>
      <c r="I446" s="18"/>
    </row>
    <row r="447">
      <c r="F447" s="18"/>
      <c r="I447" s="18"/>
    </row>
    <row r="448">
      <c r="F448" s="18"/>
      <c r="I448" s="18"/>
    </row>
    <row r="449">
      <c r="F449" s="18"/>
      <c r="I449" s="18"/>
    </row>
    <row r="450">
      <c r="F450" s="18"/>
      <c r="I450" s="18"/>
    </row>
    <row r="451">
      <c r="F451" s="18"/>
      <c r="I451" s="18"/>
    </row>
    <row r="452">
      <c r="F452" s="18"/>
      <c r="I452" s="18"/>
    </row>
    <row r="453">
      <c r="F453" s="18"/>
      <c r="I453" s="18"/>
    </row>
    <row r="454">
      <c r="F454" s="18"/>
      <c r="I454" s="18"/>
    </row>
    <row r="455">
      <c r="F455" s="18"/>
      <c r="I455" s="18"/>
    </row>
    <row r="456">
      <c r="F456" s="18"/>
      <c r="I456" s="18"/>
    </row>
    <row r="457">
      <c r="F457" s="18"/>
      <c r="I457" s="18"/>
    </row>
    <row r="458">
      <c r="F458" s="18"/>
      <c r="I458" s="18"/>
    </row>
    <row r="459">
      <c r="F459" s="18"/>
      <c r="I459" s="18"/>
    </row>
    <row r="460">
      <c r="F460" s="18"/>
      <c r="I460" s="18"/>
    </row>
    <row r="461">
      <c r="F461" s="18"/>
      <c r="I461" s="18"/>
    </row>
    <row r="462">
      <c r="F462" s="18"/>
      <c r="I462" s="18"/>
    </row>
    <row r="463">
      <c r="F463" s="18"/>
      <c r="I463" s="18"/>
    </row>
    <row r="464">
      <c r="F464" s="18"/>
      <c r="I464" s="18"/>
    </row>
    <row r="465">
      <c r="F465" s="18"/>
      <c r="I465" s="18"/>
    </row>
    <row r="466">
      <c r="F466" s="18"/>
      <c r="I466" s="18"/>
    </row>
    <row r="467">
      <c r="F467" s="18"/>
      <c r="I467" s="18"/>
    </row>
    <row r="468">
      <c r="F468" s="18"/>
      <c r="I468" s="18"/>
    </row>
    <row r="469">
      <c r="F469" s="18"/>
      <c r="I469" s="18"/>
    </row>
    <row r="470">
      <c r="F470" s="18"/>
      <c r="I470" s="18"/>
    </row>
    <row r="471">
      <c r="F471" s="18"/>
      <c r="I471" s="18"/>
    </row>
    <row r="472">
      <c r="F472" s="18"/>
      <c r="I472" s="18"/>
    </row>
    <row r="473">
      <c r="F473" s="18"/>
      <c r="I473" s="18"/>
    </row>
    <row r="474">
      <c r="F474" s="18"/>
      <c r="I474" s="18"/>
    </row>
    <row r="475">
      <c r="F475" s="18"/>
      <c r="I475" s="18"/>
    </row>
    <row r="476">
      <c r="F476" s="18"/>
      <c r="I476" s="18"/>
    </row>
    <row r="477">
      <c r="F477" s="18"/>
      <c r="I477" s="18"/>
    </row>
    <row r="478">
      <c r="F478" s="18"/>
      <c r="I478" s="18"/>
    </row>
    <row r="479">
      <c r="F479" s="18"/>
      <c r="I479" s="18"/>
    </row>
    <row r="480">
      <c r="F480" s="18"/>
      <c r="I480" s="18"/>
    </row>
    <row r="481">
      <c r="F481" s="18"/>
      <c r="I481" s="18"/>
    </row>
    <row r="482">
      <c r="F482" s="18"/>
      <c r="I482" s="18"/>
    </row>
    <row r="483">
      <c r="F483" s="18"/>
      <c r="I483" s="18"/>
    </row>
    <row r="484">
      <c r="F484" s="18"/>
      <c r="I484" s="18"/>
    </row>
    <row r="485">
      <c r="F485" s="18"/>
      <c r="I485" s="18"/>
    </row>
    <row r="486">
      <c r="F486" s="18"/>
      <c r="I486" s="18"/>
    </row>
    <row r="487">
      <c r="F487" s="18"/>
      <c r="I487" s="18"/>
    </row>
    <row r="488">
      <c r="F488" s="18"/>
      <c r="I488" s="18"/>
    </row>
    <row r="489">
      <c r="F489" s="18"/>
      <c r="I489" s="18"/>
    </row>
    <row r="490">
      <c r="F490" s="18"/>
      <c r="I490" s="18"/>
    </row>
    <row r="491">
      <c r="F491" s="18"/>
      <c r="I491" s="18"/>
    </row>
    <row r="492">
      <c r="F492" s="18"/>
      <c r="I492" s="18"/>
    </row>
    <row r="493">
      <c r="F493" s="18"/>
      <c r="I493" s="18"/>
    </row>
    <row r="494">
      <c r="F494" s="18"/>
      <c r="I494" s="18"/>
    </row>
    <row r="495">
      <c r="F495" s="18"/>
      <c r="I495" s="18"/>
    </row>
    <row r="496">
      <c r="F496" s="18"/>
      <c r="I496" s="18"/>
    </row>
    <row r="497">
      <c r="F497" s="18"/>
      <c r="I497" s="18"/>
    </row>
    <row r="498">
      <c r="F498" s="18"/>
      <c r="I498" s="18"/>
    </row>
    <row r="499">
      <c r="F499" s="18"/>
      <c r="I499" s="18"/>
    </row>
    <row r="500">
      <c r="F500" s="18"/>
      <c r="I500" s="18"/>
    </row>
    <row r="501">
      <c r="F501" s="18"/>
      <c r="I501" s="18"/>
    </row>
    <row r="502">
      <c r="F502" s="18"/>
      <c r="I502" s="18"/>
    </row>
    <row r="503">
      <c r="F503" s="18"/>
      <c r="I503" s="18"/>
    </row>
    <row r="504">
      <c r="F504" s="18"/>
      <c r="I504" s="18"/>
    </row>
    <row r="505">
      <c r="F505" s="18"/>
      <c r="I505" s="18"/>
    </row>
    <row r="506">
      <c r="F506" s="18"/>
      <c r="I506" s="18"/>
    </row>
    <row r="507">
      <c r="F507" s="18"/>
      <c r="I507" s="18"/>
    </row>
    <row r="508">
      <c r="F508" s="18"/>
      <c r="I508" s="18"/>
    </row>
    <row r="509">
      <c r="F509" s="18"/>
      <c r="I509" s="18"/>
    </row>
    <row r="510">
      <c r="F510" s="18"/>
      <c r="I510" s="18"/>
    </row>
    <row r="511">
      <c r="F511" s="18"/>
      <c r="I511" s="18"/>
    </row>
    <row r="512">
      <c r="F512" s="18"/>
      <c r="I512" s="18"/>
    </row>
    <row r="513">
      <c r="F513" s="18"/>
      <c r="I513" s="18"/>
    </row>
    <row r="514">
      <c r="F514" s="18"/>
      <c r="I514" s="18"/>
    </row>
    <row r="515">
      <c r="F515" s="18"/>
      <c r="I515" s="18"/>
    </row>
    <row r="516">
      <c r="F516" s="18"/>
      <c r="I516" s="18"/>
    </row>
    <row r="517">
      <c r="F517" s="18"/>
      <c r="I517" s="18"/>
    </row>
    <row r="518">
      <c r="F518" s="18"/>
      <c r="I518" s="18"/>
    </row>
    <row r="519">
      <c r="F519" s="18"/>
      <c r="I519" s="18"/>
    </row>
    <row r="520">
      <c r="F520" s="18"/>
      <c r="I520" s="18"/>
    </row>
    <row r="521">
      <c r="F521" s="18"/>
      <c r="I521" s="18"/>
    </row>
    <row r="522">
      <c r="F522" s="18"/>
      <c r="I522" s="18"/>
    </row>
    <row r="523">
      <c r="F523" s="18"/>
      <c r="I523" s="18"/>
    </row>
    <row r="524">
      <c r="F524" s="18"/>
      <c r="I524" s="18"/>
    </row>
    <row r="525">
      <c r="F525" s="18"/>
      <c r="I525" s="18"/>
    </row>
    <row r="526">
      <c r="F526" s="18"/>
      <c r="I526" s="18"/>
    </row>
    <row r="527">
      <c r="F527" s="18"/>
      <c r="I527" s="18"/>
    </row>
    <row r="528">
      <c r="F528" s="18"/>
      <c r="I528" s="18"/>
    </row>
    <row r="529">
      <c r="F529" s="18"/>
      <c r="I529" s="18"/>
    </row>
    <row r="530">
      <c r="F530" s="18"/>
      <c r="I530" s="18"/>
    </row>
    <row r="531">
      <c r="F531" s="18"/>
      <c r="I531" s="18"/>
    </row>
    <row r="532">
      <c r="F532" s="18"/>
      <c r="I532" s="18"/>
    </row>
    <row r="533">
      <c r="F533" s="18"/>
      <c r="I533" s="18"/>
    </row>
    <row r="534">
      <c r="F534" s="18"/>
      <c r="I534" s="18"/>
    </row>
    <row r="535">
      <c r="F535" s="18"/>
      <c r="I535" s="18"/>
    </row>
    <row r="536">
      <c r="F536" s="18"/>
      <c r="I536" s="18"/>
    </row>
    <row r="537">
      <c r="F537" s="18"/>
      <c r="I537" s="18"/>
    </row>
    <row r="538">
      <c r="F538" s="18"/>
      <c r="I538" s="18"/>
    </row>
    <row r="539">
      <c r="F539" s="18"/>
      <c r="I539" s="18"/>
    </row>
    <row r="540">
      <c r="F540" s="18"/>
      <c r="I540" s="18"/>
    </row>
    <row r="541">
      <c r="F541" s="18"/>
      <c r="I541" s="18"/>
    </row>
    <row r="542">
      <c r="F542" s="18"/>
      <c r="I542" s="18"/>
    </row>
    <row r="543">
      <c r="F543" s="18"/>
      <c r="I543" s="18"/>
    </row>
    <row r="544">
      <c r="F544" s="18"/>
      <c r="I544" s="18"/>
    </row>
    <row r="545">
      <c r="F545" s="18"/>
      <c r="I545" s="18"/>
    </row>
    <row r="546">
      <c r="F546" s="18"/>
      <c r="I546" s="18"/>
    </row>
    <row r="547">
      <c r="F547" s="18"/>
      <c r="I547" s="18"/>
    </row>
    <row r="548">
      <c r="F548" s="18"/>
      <c r="I548" s="18"/>
    </row>
    <row r="549">
      <c r="F549" s="18"/>
      <c r="I549" s="18"/>
    </row>
    <row r="550">
      <c r="F550" s="18"/>
      <c r="I550" s="18"/>
    </row>
    <row r="551">
      <c r="F551" s="18"/>
      <c r="I551" s="18"/>
    </row>
    <row r="552">
      <c r="F552" s="18"/>
      <c r="I552" s="18"/>
    </row>
    <row r="553">
      <c r="F553" s="18"/>
      <c r="I553" s="18"/>
    </row>
    <row r="554">
      <c r="F554" s="18"/>
      <c r="I554" s="18"/>
    </row>
    <row r="555">
      <c r="F555" s="18"/>
      <c r="I555" s="18"/>
    </row>
    <row r="556">
      <c r="F556" s="18"/>
      <c r="I556" s="18"/>
    </row>
    <row r="557">
      <c r="F557" s="18"/>
      <c r="I557" s="18"/>
    </row>
    <row r="558">
      <c r="F558" s="18"/>
      <c r="I558" s="18"/>
    </row>
    <row r="559">
      <c r="F559" s="18"/>
      <c r="I559" s="18"/>
    </row>
    <row r="560">
      <c r="F560" s="18"/>
      <c r="I560" s="18"/>
    </row>
    <row r="561">
      <c r="F561" s="18"/>
      <c r="I561" s="18"/>
    </row>
    <row r="562">
      <c r="F562" s="18"/>
      <c r="I562" s="18"/>
    </row>
    <row r="563">
      <c r="F563" s="18"/>
      <c r="I563" s="18"/>
    </row>
    <row r="564">
      <c r="F564" s="18"/>
      <c r="I564" s="18"/>
    </row>
    <row r="565">
      <c r="F565" s="18"/>
      <c r="I565" s="18"/>
    </row>
    <row r="566">
      <c r="F566" s="18"/>
      <c r="I566" s="18"/>
    </row>
    <row r="567">
      <c r="F567" s="18"/>
      <c r="I567" s="18"/>
    </row>
    <row r="568">
      <c r="F568" s="18"/>
      <c r="I568" s="18"/>
    </row>
    <row r="569">
      <c r="F569" s="18"/>
      <c r="I569" s="18"/>
    </row>
    <row r="570">
      <c r="F570" s="18"/>
      <c r="I570" s="18"/>
    </row>
    <row r="571">
      <c r="F571" s="18"/>
      <c r="I571" s="18"/>
    </row>
    <row r="572">
      <c r="F572" s="18"/>
      <c r="I572" s="18"/>
    </row>
    <row r="573">
      <c r="F573" s="18"/>
      <c r="I573" s="18"/>
    </row>
    <row r="574">
      <c r="F574" s="18"/>
      <c r="I574" s="18"/>
    </row>
    <row r="575">
      <c r="F575" s="18"/>
      <c r="I575" s="18"/>
    </row>
    <row r="576">
      <c r="F576" s="18"/>
      <c r="I576" s="18"/>
    </row>
    <row r="577">
      <c r="F577" s="18"/>
      <c r="I577" s="18"/>
    </row>
    <row r="578">
      <c r="F578" s="18"/>
      <c r="I578" s="18"/>
    </row>
    <row r="579">
      <c r="F579" s="18"/>
      <c r="I579" s="18"/>
    </row>
    <row r="580">
      <c r="F580" s="18"/>
      <c r="I580" s="18"/>
    </row>
    <row r="581">
      <c r="F581" s="18"/>
      <c r="I581" s="18"/>
    </row>
    <row r="582">
      <c r="F582" s="18"/>
      <c r="I582" s="18"/>
    </row>
    <row r="583">
      <c r="F583" s="18"/>
      <c r="I583" s="18"/>
    </row>
    <row r="584">
      <c r="F584" s="18"/>
      <c r="I584" s="18"/>
    </row>
    <row r="585">
      <c r="F585" s="18"/>
      <c r="I585" s="18"/>
    </row>
    <row r="586">
      <c r="F586" s="18"/>
      <c r="I586" s="18"/>
    </row>
    <row r="587">
      <c r="F587" s="18"/>
      <c r="I587" s="18"/>
    </row>
    <row r="588">
      <c r="F588" s="18"/>
      <c r="I588" s="18"/>
    </row>
    <row r="589">
      <c r="F589" s="18"/>
      <c r="I589" s="18"/>
    </row>
    <row r="590">
      <c r="F590" s="18"/>
      <c r="I590" s="18"/>
    </row>
    <row r="591">
      <c r="F591" s="18"/>
      <c r="I591" s="18"/>
    </row>
    <row r="592">
      <c r="F592" s="18"/>
      <c r="I592" s="18"/>
    </row>
    <row r="593">
      <c r="F593" s="18"/>
      <c r="I593" s="18"/>
    </row>
    <row r="594">
      <c r="F594" s="18"/>
      <c r="I594" s="18"/>
    </row>
    <row r="595">
      <c r="F595" s="18"/>
      <c r="I595" s="18"/>
    </row>
    <row r="596">
      <c r="F596" s="18"/>
      <c r="I596" s="18"/>
    </row>
    <row r="597">
      <c r="F597" s="18"/>
      <c r="I597" s="18"/>
    </row>
    <row r="598">
      <c r="F598" s="18"/>
      <c r="I598" s="18"/>
    </row>
    <row r="599">
      <c r="F599" s="18"/>
      <c r="I599" s="18"/>
    </row>
    <row r="600">
      <c r="F600" s="18"/>
      <c r="I600" s="18"/>
    </row>
    <row r="601">
      <c r="F601" s="18"/>
      <c r="I601" s="18"/>
    </row>
    <row r="602">
      <c r="F602" s="18"/>
      <c r="I602" s="18"/>
    </row>
    <row r="603">
      <c r="F603" s="18"/>
      <c r="I603" s="18"/>
    </row>
    <row r="604">
      <c r="F604" s="18"/>
      <c r="I604" s="18"/>
    </row>
    <row r="605">
      <c r="F605" s="18"/>
      <c r="I605" s="18"/>
    </row>
    <row r="606">
      <c r="F606" s="18"/>
      <c r="I606" s="18"/>
    </row>
    <row r="607">
      <c r="F607" s="18"/>
      <c r="I607" s="18"/>
    </row>
    <row r="608">
      <c r="F608" s="18"/>
      <c r="I608" s="18"/>
    </row>
    <row r="609">
      <c r="F609" s="18"/>
      <c r="I609" s="18"/>
    </row>
    <row r="610">
      <c r="F610" s="18"/>
      <c r="I610" s="18"/>
    </row>
    <row r="611">
      <c r="F611" s="18"/>
      <c r="I611" s="18"/>
    </row>
    <row r="612">
      <c r="F612" s="18"/>
      <c r="I612" s="18"/>
    </row>
    <row r="613">
      <c r="F613" s="18"/>
      <c r="I613" s="18"/>
    </row>
    <row r="614">
      <c r="F614" s="18"/>
      <c r="I614" s="18"/>
    </row>
    <row r="615">
      <c r="F615" s="18"/>
      <c r="I615" s="18"/>
    </row>
    <row r="616">
      <c r="F616" s="18"/>
      <c r="I616" s="18"/>
    </row>
    <row r="617">
      <c r="F617" s="18"/>
      <c r="I617" s="18"/>
    </row>
    <row r="618">
      <c r="F618" s="18"/>
      <c r="I618" s="18"/>
    </row>
    <row r="619">
      <c r="F619" s="18"/>
      <c r="I619" s="18"/>
    </row>
    <row r="620">
      <c r="F620" s="18"/>
      <c r="I620" s="18"/>
    </row>
    <row r="621">
      <c r="F621" s="18"/>
      <c r="I621" s="18"/>
    </row>
    <row r="622">
      <c r="F622" s="18"/>
      <c r="I622" s="18"/>
    </row>
    <row r="623">
      <c r="F623" s="18"/>
      <c r="I623" s="18"/>
    </row>
    <row r="624">
      <c r="F624" s="18"/>
      <c r="I624" s="18"/>
    </row>
    <row r="625">
      <c r="F625" s="18"/>
      <c r="I625" s="18"/>
    </row>
    <row r="626">
      <c r="F626" s="18"/>
      <c r="I626" s="18"/>
    </row>
    <row r="627">
      <c r="F627" s="18"/>
      <c r="I627" s="18"/>
    </row>
    <row r="628">
      <c r="F628" s="18"/>
      <c r="I628" s="18"/>
    </row>
    <row r="629">
      <c r="F629" s="18"/>
      <c r="I629" s="18"/>
    </row>
    <row r="630">
      <c r="F630" s="18"/>
      <c r="I630" s="18"/>
    </row>
    <row r="631">
      <c r="F631" s="18"/>
      <c r="I631" s="18"/>
    </row>
    <row r="632">
      <c r="F632" s="18"/>
      <c r="I632" s="18"/>
    </row>
    <row r="633">
      <c r="F633" s="18"/>
      <c r="I633" s="18"/>
    </row>
    <row r="634">
      <c r="F634" s="18"/>
      <c r="I634" s="18"/>
    </row>
    <row r="635">
      <c r="F635" s="18"/>
      <c r="I635" s="18"/>
    </row>
    <row r="636">
      <c r="F636" s="18"/>
      <c r="I636" s="18"/>
    </row>
    <row r="637">
      <c r="F637" s="18"/>
      <c r="I637" s="18"/>
    </row>
    <row r="638">
      <c r="F638" s="18"/>
      <c r="I638" s="18"/>
    </row>
    <row r="639">
      <c r="F639" s="18"/>
      <c r="I639" s="18"/>
    </row>
    <row r="640">
      <c r="F640" s="18"/>
      <c r="I640" s="18"/>
    </row>
    <row r="641">
      <c r="F641" s="18"/>
      <c r="I641" s="18"/>
    </row>
    <row r="642">
      <c r="F642" s="18"/>
      <c r="I642" s="18"/>
    </row>
    <row r="643">
      <c r="F643" s="18"/>
      <c r="I643" s="18"/>
    </row>
    <row r="644">
      <c r="F644" s="18"/>
      <c r="I644" s="18"/>
    </row>
    <row r="645">
      <c r="F645" s="18"/>
      <c r="I645" s="18"/>
    </row>
    <row r="646">
      <c r="F646" s="18"/>
      <c r="I646" s="18"/>
    </row>
    <row r="647">
      <c r="F647" s="18"/>
      <c r="I647" s="18"/>
    </row>
    <row r="648">
      <c r="F648" s="18"/>
      <c r="I648" s="18"/>
    </row>
    <row r="649">
      <c r="F649" s="18"/>
      <c r="I649" s="18"/>
    </row>
    <row r="650">
      <c r="F650" s="18"/>
      <c r="I650" s="18"/>
    </row>
    <row r="651">
      <c r="F651" s="18"/>
      <c r="I651" s="18"/>
    </row>
    <row r="652">
      <c r="F652" s="18"/>
      <c r="I652" s="18"/>
    </row>
    <row r="653">
      <c r="F653" s="18"/>
      <c r="I653" s="18"/>
    </row>
    <row r="654">
      <c r="F654" s="18"/>
      <c r="I654" s="18"/>
    </row>
    <row r="655">
      <c r="F655" s="18"/>
      <c r="I655" s="18"/>
    </row>
    <row r="656">
      <c r="F656" s="18"/>
      <c r="I656" s="18"/>
    </row>
    <row r="657">
      <c r="F657" s="18"/>
      <c r="I657" s="18"/>
    </row>
    <row r="658">
      <c r="F658" s="18"/>
      <c r="I658" s="18"/>
    </row>
    <row r="659">
      <c r="F659" s="18"/>
      <c r="I659" s="18"/>
    </row>
    <row r="660">
      <c r="F660" s="18"/>
      <c r="I660" s="18"/>
    </row>
    <row r="661">
      <c r="F661" s="18"/>
      <c r="I661" s="18"/>
    </row>
    <row r="662">
      <c r="F662" s="18"/>
      <c r="I662" s="18"/>
    </row>
    <row r="663">
      <c r="F663" s="18"/>
      <c r="I663" s="18"/>
    </row>
    <row r="664">
      <c r="F664" s="18"/>
      <c r="I664" s="18"/>
    </row>
    <row r="665">
      <c r="F665" s="18"/>
      <c r="I665" s="18"/>
    </row>
    <row r="666">
      <c r="F666" s="18"/>
      <c r="I666" s="18"/>
    </row>
    <row r="667">
      <c r="F667" s="18"/>
      <c r="I667" s="18"/>
    </row>
    <row r="668">
      <c r="F668" s="18"/>
      <c r="I668" s="18"/>
    </row>
    <row r="669">
      <c r="F669" s="18"/>
      <c r="I669" s="18"/>
    </row>
    <row r="670">
      <c r="F670" s="18"/>
      <c r="I670" s="18"/>
    </row>
    <row r="671">
      <c r="F671" s="18"/>
      <c r="I671" s="18"/>
    </row>
    <row r="672">
      <c r="F672" s="18"/>
      <c r="I672" s="18"/>
    </row>
    <row r="673">
      <c r="F673" s="18"/>
      <c r="I673" s="18"/>
    </row>
    <row r="674">
      <c r="F674" s="18"/>
      <c r="I674" s="18"/>
    </row>
    <row r="675">
      <c r="F675" s="18"/>
      <c r="I675" s="18"/>
    </row>
    <row r="676">
      <c r="F676" s="18"/>
      <c r="I676" s="18"/>
    </row>
    <row r="677">
      <c r="F677" s="18"/>
      <c r="I677" s="18"/>
    </row>
    <row r="678">
      <c r="F678" s="18"/>
      <c r="I678" s="18"/>
    </row>
    <row r="679">
      <c r="F679" s="18"/>
      <c r="I679" s="18"/>
    </row>
    <row r="680">
      <c r="F680" s="18"/>
      <c r="I680" s="18"/>
    </row>
    <row r="681">
      <c r="F681" s="18"/>
      <c r="I681" s="18"/>
    </row>
    <row r="682">
      <c r="F682" s="18"/>
      <c r="I682" s="18"/>
    </row>
    <row r="683">
      <c r="F683" s="18"/>
      <c r="I683" s="18"/>
    </row>
    <row r="684">
      <c r="F684" s="18"/>
      <c r="I684" s="18"/>
    </row>
    <row r="685">
      <c r="F685" s="18"/>
      <c r="I685" s="18"/>
    </row>
    <row r="686">
      <c r="F686" s="18"/>
      <c r="I686" s="18"/>
    </row>
    <row r="687">
      <c r="F687" s="18"/>
      <c r="I687" s="18"/>
    </row>
    <row r="688">
      <c r="F688" s="18"/>
      <c r="I688" s="18"/>
    </row>
    <row r="689">
      <c r="F689" s="18"/>
      <c r="I689" s="18"/>
    </row>
    <row r="690">
      <c r="F690" s="18"/>
      <c r="I690" s="18"/>
    </row>
    <row r="691">
      <c r="F691" s="18"/>
      <c r="I691" s="18"/>
    </row>
    <row r="692">
      <c r="F692" s="18"/>
      <c r="I692" s="18"/>
    </row>
    <row r="693">
      <c r="F693" s="18"/>
      <c r="I693" s="18"/>
    </row>
    <row r="694">
      <c r="F694" s="18"/>
      <c r="I694" s="18"/>
    </row>
    <row r="695">
      <c r="F695" s="18"/>
      <c r="I695" s="18"/>
    </row>
    <row r="696">
      <c r="F696" s="18"/>
      <c r="I696" s="18"/>
    </row>
    <row r="697">
      <c r="F697" s="18"/>
      <c r="I697" s="18"/>
    </row>
    <row r="698">
      <c r="F698" s="18"/>
      <c r="I698" s="18"/>
    </row>
    <row r="699">
      <c r="F699" s="18"/>
      <c r="I699" s="18"/>
    </row>
    <row r="700">
      <c r="F700" s="18"/>
      <c r="I700" s="18"/>
    </row>
    <row r="701">
      <c r="F701" s="18"/>
      <c r="I701" s="18"/>
    </row>
    <row r="702">
      <c r="F702" s="18"/>
      <c r="I702" s="18"/>
    </row>
    <row r="703">
      <c r="F703" s="18"/>
      <c r="I703" s="18"/>
    </row>
    <row r="704">
      <c r="F704" s="18"/>
      <c r="I704" s="18"/>
    </row>
    <row r="705">
      <c r="F705" s="18"/>
      <c r="I705" s="18"/>
    </row>
    <row r="706">
      <c r="F706" s="18"/>
      <c r="I706" s="18"/>
    </row>
    <row r="707">
      <c r="F707" s="18"/>
      <c r="I707" s="18"/>
    </row>
    <row r="708">
      <c r="F708" s="18"/>
      <c r="I708" s="18"/>
    </row>
    <row r="709">
      <c r="F709" s="18"/>
      <c r="I709" s="18"/>
    </row>
    <row r="710">
      <c r="F710" s="18"/>
      <c r="I710" s="18"/>
    </row>
    <row r="711">
      <c r="F711" s="18"/>
      <c r="I711" s="18"/>
    </row>
    <row r="712">
      <c r="F712" s="18"/>
      <c r="I712" s="18"/>
    </row>
    <row r="713">
      <c r="F713" s="18"/>
      <c r="I713" s="18"/>
    </row>
    <row r="714">
      <c r="F714" s="18"/>
      <c r="I714" s="18"/>
    </row>
    <row r="715">
      <c r="F715" s="18"/>
      <c r="I715" s="18"/>
    </row>
    <row r="716">
      <c r="F716" s="18"/>
      <c r="I716" s="18"/>
    </row>
    <row r="717">
      <c r="F717" s="18"/>
      <c r="I717" s="18"/>
    </row>
    <row r="718">
      <c r="F718" s="18"/>
      <c r="I718" s="18"/>
    </row>
    <row r="719">
      <c r="F719" s="18"/>
      <c r="I719" s="18"/>
    </row>
    <row r="720">
      <c r="F720" s="18"/>
      <c r="I720" s="18"/>
    </row>
    <row r="721">
      <c r="F721" s="18"/>
      <c r="I721" s="18"/>
    </row>
    <row r="722">
      <c r="F722" s="18"/>
      <c r="I722" s="18"/>
    </row>
    <row r="723">
      <c r="F723" s="18"/>
      <c r="I723" s="18"/>
    </row>
    <row r="724">
      <c r="F724" s="18"/>
      <c r="I724" s="18"/>
    </row>
    <row r="725">
      <c r="F725" s="18"/>
      <c r="I725" s="18"/>
    </row>
    <row r="726">
      <c r="F726" s="18"/>
      <c r="I726" s="18"/>
    </row>
    <row r="727">
      <c r="F727" s="18"/>
      <c r="I727" s="18"/>
    </row>
    <row r="728">
      <c r="F728" s="18"/>
      <c r="I728" s="18"/>
    </row>
    <row r="729">
      <c r="F729" s="18"/>
      <c r="I729" s="18"/>
    </row>
    <row r="730">
      <c r="F730" s="18"/>
      <c r="I730" s="18"/>
    </row>
    <row r="731">
      <c r="F731" s="18"/>
      <c r="I731" s="18"/>
    </row>
    <row r="732">
      <c r="F732" s="18"/>
      <c r="I732" s="18"/>
    </row>
    <row r="733">
      <c r="F733" s="18"/>
      <c r="I733" s="18"/>
    </row>
    <row r="734">
      <c r="F734" s="18"/>
      <c r="I734" s="18"/>
    </row>
    <row r="735">
      <c r="F735" s="18"/>
      <c r="I735" s="18"/>
    </row>
    <row r="736">
      <c r="F736" s="18"/>
      <c r="I736" s="18"/>
    </row>
    <row r="737">
      <c r="F737" s="18"/>
      <c r="I737" s="18"/>
    </row>
    <row r="738">
      <c r="F738" s="18"/>
      <c r="I738" s="18"/>
    </row>
    <row r="739">
      <c r="F739" s="18"/>
      <c r="I739" s="18"/>
    </row>
    <row r="740">
      <c r="F740" s="18"/>
      <c r="I740" s="18"/>
    </row>
    <row r="741">
      <c r="F741" s="18"/>
      <c r="I741" s="18"/>
    </row>
    <row r="742">
      <c r="F742" s="18"/>
      <c r="I742" s="18"/>
    </row>
    <row r="743">
      <c r="F743" s="18"/>
      <c r="I743" s="18"/>
    </row>
    <row r="744">
      <c r="F744" s="18"/>
      <c r="I744" s="18"/>
    </row>
    <row r="745">
      <c r="F745" s="18"/>
      <c r="I745" s="18"/>
    </row>
    <row r="746">
      <c r="F746" s="18"/>
      <c r="I746" s="18"/>
    </row>
    <row r="747">
      <c r="F747" s="18"/>
      <c r="I747" s="18"/>
    </row>
    <row r="748">
      <c r="F748" s="18"/>
      <c r="I748" s="18"/>
    </row>
    <row r="749">
      <c r="F749" s="18"/>
      <c r="I749" s="18"/>
    </row>
    <row r="750">
      <c r="F750" s="18"/>
      <c r="I750" s="18"/>
    </row>
    <row r="751">
      <c r="F751" s="18"/>
      <c r="I751" s="18"/>
    </row>
    <row r="752">
      <c r="F752" s="18"/>
      <c r="I752" s="18"/>
    </row>
    <row r="753">
      <c r="F753" s="18"/>
      <c r="I753" s="18"/>
    </row>
    <row r="754">
      <c r="F754" s="18"/>
      <c r="I754" s="18"/>
    </row>
    <row r="755">
      <c r="F755" s="18"/>
      <c r="I755" s="18"/>
    </row>
    <row r="756">
      <c r="F756" s="18"/>
      <c r="I756" s="18"/>
    </row>
    <row r="757">
      <c r="F757" s="18"/>
      <c r="I757" s="18"/>
    </row>
    <row r="758">
      <c r="F758" s="18"/>
      <c r="I758" s="18"/>
    </row>
    <row r="759">
      <c r="F759" s="18"/>
      <c r="I759" s="18"/>
    </row>
    <row r="760">
      <c r="F760" s="18"/>
      <c r="I760" s="18"/>
    </row>
    <row r="761">
      <c r="F761" s="18"/>
      <c r="I761" s="18"/>
    </row>
    <row r="762">
      <c r="F762" s="18"/>
      <c r="I762" s="18"/>
    </row>
    <row r="763">
      <c r="F763" s="18"/>
      <c r="I763" s="18"/>
    </row>
    <row r="764">
      <c r="F764" s="18"/>
      <c r="I764" s="18"/>
    </row>
    <row r="765">
      <c r="F765" s="18"/>
      <c r="I765" s="18"/>
    </row>
    <row r="766">
      <c r="F766" s="18"/>
      <c r="I766" s="18"/>
    </row>
    <row r="767">
      <c r="F767" s="18"/>
      <c r="I767" s="18"/>
    </row>
    <row r="768">
      <c r="F768" s="18"/>
      <c r="I768" s="18"/>
    </row>
    <row r="769">
      <c r="F769" s="18"/>
      <c r="I769" s="18"/>
    </row>
    <row r="770">
      <c r="F770" s="18"/>
      <c r="I770" s="18"/>
    </row>
    <row r="771">
      <c r="F771" s="18"/>
      <c r="I771" s="18"/>
    </row>
    <row r="772">
      <c r="F772" s="18"/>
      <c r="I772" s="18"/>
    </row>
    <row r="773">
      <c r="F773" s="18"/>
      <c r="I773" s="18"/>
    </row>
    <row r="774">
      <c r="F774" s="18"/>
      <c r="I774" s="18"/>
    </row>
    <row r="775">
      <c r="F775" s="18"/>
      <c r="I775" s="18"/>
    </row>
    <row r="776">
      <c r="F776" s="18"/>
      <c r="I776" s="18"/>
    </row>
    <row r="777">
      <c r="F777" s="18"/>
      <c r="I777" s="18"/>
    </row>
    <row r="778">
      <c r="F778" s="18"/>
      <c r="I778" s="18"/>
    </row>
    <row r="779">
      <c r="F779" s="18"/>
      <c r="I779" s="18"/>
    </row>
    <row r="780">
      <c r="F780" s="18"/>
      <c r="I780" s="18"/>
    </row>
    <row r="781">
      <c r="F781" s="18"/>
      <c r="I781" s="18"/>
    </row>
    <row r="782">
      <c r="F782" s="18"/>
      <c r="I782" s="18"/>
    </row>
    <row r="783">
      <c r="F783" s="18"/>
      <c r="I783" s="18"/>
    </row>
    <row r="784">
      <c r="F784" s="18"/>
      <c r="I784" s="18"/>
    </row>
    <row r="785">
      <c r="F785" s="18"/>
      <c r="I785" s="18"/>
    </row>
    <row r="786">
      <c r="F786" s="18"/>
      <c r="I786" s="18"/>
    </row>
    <row r="787">
      <c r="F787" s="18"/>
      <c r="I787" s="18"/>
    </row>
    <row r="788">
      <c r="F788" s="18"/>
      <c r="I788" s="18"/>
    </row>
    <row r="789">
      <c r="F789" s="18"/>
      <c r="I789" s="18"/>
    </row>
    <row r="790">
      <c r="F790" s="18"/>
      <c r="I790" s="18"/>
    </row>
    <row r="791">
      <c r="F791" s="18"/>
      <c r="I791" s="18"/>
    </row>
    <row r="792">
      <c r="F792" s="18"/>
      <c r="I792" s="18"/>
    </row>
    <row r="793">
      <c r="F793" s="18"/>
      <c r="I793" s="18"/>
    </row>
    <row r="794">
      <c r="F794" s="18"/>
      <c r="I794" s="18"/>
    </row>
    <row r="795">
      <c r="F795" s="18"/>
      <c r="I795" s="18"/>
    </row>
    <row r="796">
      <c r="F796" s="18"/>
      <c r="I796" s="18"/>
    </row>
    <row r="797">
      <c r="F797" s="18"/>
      <c r="I797" s="18"/>
    </row>
    <row r="798">
      <c r="F798" s="18"/>
      <c r="I798" s="18"/>
    </row>
    <row r="799">
      <c r="F799" s="18"/>
      <c r="I799" s="18"/>
    </row>
    <row r="800">
      <c r="F800" s="18"/>
      <c r="I800" s="18"/>
    </row>
    <row r="801">
      <c r="F801" s="18"/>
      <c r="I801" s="18"/>
    </row>
    <row r="802">
      <c r="F802" s="18"/>
      <c r="I802" s="18"/>
    </row>
    <row r="803">
      <c r="F803" s="18"/>
      <c r="I803" s="18"/>
    </row>
    <row r="804">
      <c r="F804" s="18"/>
      <c r="I804" s="18"/>
    </row>
    <row r="805">
      <c r="F805" s="18"/>
      <c r="I805" s="18"/>
    </row>
    <row r="806">
      <c r="F806" s="18"/>
      <c r="I806" s="18"/>
    </row>
    <row r="807">
      <c r="F807" s="18"/>
      <c r="I807" s="18"/>
    </row>
    <row r="808">
      <c r="F808" s="18"/>
      <c r="I808" s="18"/>
    </row>
    <row r="809">
      <c r="F809" s="18"/>
      <c r="I809" s="18"/>
    </row>
    <row r="810">
      <c r="F810" s="18"/>
      <c r="I810" s="18"/>
    </row>
    <row r="811">
      <c r="F811" s="18"/>
      <c r="I811" s="18"/>
    </row>
    <row r="812">
      <c r="F812" s="18"/>
      <c r="I812" s="18"/>
    </row>
    <row r="813">
      <c r="F813" s="18"/>
      <c r="I813" s="18"/>
    </row>
    <row r="814">
      <c r="F814" s="18"/>
      <c r="I814" s="18"/>
    </row>
    <row r="815">
      <c r="F815" s="18"/>
      <c r="I815" s="18"/>
    </row>
    <row r="816">
      <c r="F816" s="18"/>
      <c r="I816" s="18"/>
    </row>
    <row r="817">
      <c r="F817" s="18"/>
      <c r="I817" s="18"/>
    </row>
    <row r="818">
      <c r="F818" s="18"/>
      <c r="I818" s="18"/>
    </row>
    <row r="819">
      <c r="F819" s="18"/>
      <c r="I819" s="18"/>
    </row>
    <row r="820">
      <c r="F820" s="18"/>
      <c r="I820" s="18"/>
    </row>
    <row r="821">
      <c r="F821" s="18"/>
      <c r="I821" s="18"/>
    </row>
    <row r="822">
      <c r="F822" s="18"/>
      <c r="I822" s="18"/>
    </row>
    <row r="823">
      <c r="F823" s="18"/>
      <c r="I823" s="18"/>
    </row>
    <row r="824">
      <c r="F824" s="18"/>
      <c r="I824" s="18"/>
    </row>
    <row r="825">
      <c r="F825" s="18"/>
      <c r="I825" s="18"/>
    </row>
    <row r="826">
      <c r="F826" s="18"/>
      <c r="I826" s="18"/>
    </row>
    <row r="827">
      <c r="F827" s="18"/>
      <c r="I827" s="18"/>
    </row>
    <row r="828">
      <c r="F828" s="18"/>
      <c r="I828" s="18"/>
    </row>
    <row r="829">
      <c r="F829" s="18"/>
      <c r="I829" s="18"/>
    </row>
    <row r="830">
      <c r="F830" s="18"/>
      <c r="I830" s="18"/>
    </row>
    <row r="831">
      <c r="F831" s="18"/>
      <c r="I831" s="18"/>
    </row>
    <row r="832">
      <c r="F832" s="18"/>
      <c r="I832" s="18"/>
    </row>
    <row r="833">
      <c r="F833" s="18"/>
      <c r="I833" s="18"/>
    </row>
    <row r="834">
      <c r="F834" s="18"/>
      <c r="I834" s="18"/>
    </row>
    <row r="835">
      <c r="F835" s="18"/>
      <c r="I835" s="18"/>
    </row>
    <row r="836">
      <c r="F836" s="18"/>
      <c r="I836" s="18"/>
    </row>
    <row r="837">
      <c r="F837" s="18"/>
      <c r="I837" s="18"/>
    </row>
    <row r="838">
      <c r="F838" s="18"/>
      <c r="I838" s="18"/>
    </row>
    <row r="839">
      <c r="F839" s="18"/>
      <c r="I839" s="18"/>
    </row>
    <row r="840">
      <c r="F840" s="18"/>
      <c r="I840" s="18"/>
    </row>
    <row r="841">
      <c r="F841" s="18"/>
      <c r="I841" s="18"/>
    </row>
    <row r="842">
      <c r="F842" s="18"/>
      <c r="I842" s="18"/>
    </row>
    <row r="843">
      <c r="F843" s="18"/>
      <c r="I843" s="18"/>
    </row>
    <row r="844">
      <c r="F844" s="18"/>
      <c r="I844" s="18"/>
    </row>
    <row r="845">
      <c r="F845" s="18"/>
      <c r="I845" s="18"/>
    </row>
    <row r="846">
      <c r="F846" s="18"/>
      <c r="I846" s="18"/>
    </row>
    <row r="847">
      <c r="F847" s="18"/>
      <c r="I847" s="18"/>
    </row>
    <row r="848">
      <c r="F848" s="18"/>
      <c r="I848" s="18"/>
    </row>
    <row r="849">
      <c r="F849" s="18"/>
      <c r="I849" s="18"/>
    </row>
    <row r="850">
      <c r="F850" s="18"/>
      <c r="I850" s="18"/>
    </row>
    <row r="851">
      <c r="F851" s="18"/>
      <c r="I851" s="18"/>
    </row>
    <row r="852">
      <c r="F852" s="18"/>
      <c r="I852" s="18"/>
    </row>
    <row r="853">
      <c r="F853" s="18"/>
      <c r="I853" s="18"/>
    </row>
    <row r="854">
      <c r="F854" s="18"/>
      <c r="I854" s="18"/>
    </row>
    <row r="855">
      <c r="F855" s="18"/>
      <c r="I855" s="18"/>
    </row>
    <row r="856">
      <c r="F856" s="18"/>
      <c r="I856" s="18"/>
    </row>
    <row r="857">
      <c r="F857" s="18"/>
      <c r="I857" s="18"/>
    </row>
    <row r="858">
      <c r="F858" s="18"/>
      <c r="I858" s="18"/>
    </row>
    <row r="859">
      <c r="F859" s="18"/>
      <c r="I859" s="18"/>
    </row>
    <row r="860">
      <c r="F860" s="18"/>
      <c r="I860" s="18"/>
    </row>
    <row r="861">
      <c r="F861" s="18"/>
      <c r="I861" s="18"/>
    </row>
    <row r="862">
      <c r="F862" s="18"/>
      <c r="I862" s="18"/>
    </row>
    <row r="863">
      <c r="F863" s="18"/>
      <c r="I863" s="18"/>
    </row>
    <row r="864">
      <c r="F864" s="18"/>
      <c r="I864" s="18"/>
    </row>
    <row r="865">
      <c r="F865" s="18"/>
      <c r="I865" s="18"/>
    </row>
    <row r="866">
      <c r="F866" s="18"/>
      <c r="I866" s="18"/>
    </row>
    <row r="867">
      <c r="F867" s="18"/>
      <c r="I867" s="18"/>
    </row>
    <row r="868">
      <c r="F868" s="18"/>
      <c r="I868" s="18"/>
    </row>
    <row r="869">
      <c r="F869" s="18"/>
      <c r="I869" s="18"/>
    </row>
    <row r="870">
      <c r="F870" s="18"/>
      <c r="I870" s="18"/>
    </row>
    <row r="871">
      <c r="F871" s="18"/>
      <c r="I871" s="18"/>
    </row>
    <row r="872">
      <c r="F872" s="18"/>
      <c r="I872" s="18"/>
    </row>
    <row r="873">
      <c r="F873" s="18"/>
      <c r="I873" s="18"/>
    </row>
    <row r="874">
      <c r="F874" s="18"/>
      <c r="I874" s="18"/>
    </row>
    <row r="875">
      <c r="F875" s="18"/>
      <c r="I875" s="18"/>
    </row>
    <row r="876">
      <c r="F876" s="18"/>
      <c r="I876" s="18"/>
    </row>
    <row r="877">
      <c r="F877" s="18"/>
      <c r="I877" s="18"/>
    </row>
    <row r="878">
      <c r="F878" s="18"/>
      <c r="I878" s="18"/>
    </row>
    <row r="879">
      <c r="F879" s="18"/>
      <c r="I879" s="18"/>
    </row>
    <row r="880">
      <c r="F880" s="18"/>
      <c r="I880" s="18"/>
    </row>
    <row r="881">
      <c r="F881" s="18"/>
      <c r="I881" s="18"/>
    </row>
    <row r="882">
      <c r="F882" s="18"/>
      <c r="I882" s="18"/>
    </row>
    <row r="883">
      <c r="F883" s="18"/>
      <c r="I883" s="18"/>
    </row>
    <row r="884">
      <c r="F884" s="18"/>
      <c r="I884" s="18"/>
    </row>
    <row r="885">
      <c r="F885" s="18"/>
      <c r="I885" s="18"/>
    </row>
    <row r="886">
      <c r="F886" s="18"/>
      <c r="I886" s="18"/>
    </row>
    <row r="887">
      <c r="F887" s="18"/>
      <c r="I887" s="18"/>
    </row>
    <row r="888">
      <c r="F888" s="18"/>
      <c r="I888" s="18"/>
    </row>
    <row r="889">
      <c r="F889" s="18"/>
      <c r="I889" s="18"/>
    </row>
    <row r="890">
      <c r="F890" s="18"/>
      <c r="I890" s="18"/>
    </row>
    <row r="891">
      <c r="F891" s="18"/>
      <c r="I891" s="18"/>
    </row>
    <row r="892">
      <c r="F892" s="18"/>
      <c r="I892" s="18"/>
    </row>
    <row r="893">
      <c r="F893" s="18"/>
      <c r="I893" s="18"/>
    </row>
    <row r="894">
      <c r="F894" s="18"/>
      <c r="I894" s="18"/>
    </row>
    <row r="895">
      <c r="F895" s="18"/>
      <c r="I895" s="18"/>
    </row>
    <row r="896">
      <c r="F896" s="18"/>
      <c r="I896" s="18"/>
    </row>
    <row r="897">
      <c r="F897" s="18"/>
      <c r="I897" s="18"/>
    </row>
    <row r="898">
      <c r="F898" s="18"/>
      <c r="I898" s="18"/>
    </row>
    <row r="899">
      <c r="F899" s="18"/>
      <c r="I899" s="18"/>
    </row>
    <row r="900">
      <c r="F900" s="18"/>
      <c r="I900" s="18"/>
    </row>
    <row r="901">
      <c r="F901" s="18"/>
      <c r="I901" s="18"/>
    </row>
    <row r="902">
      <c r="F902" s="18"/>
      <c r="I902" s="18"/>
    </row>
    <row r="903">
      <c r="F903" s="18"/>
      <c r="I903" s="18"/>
    </row>
    <row r="904">
      <c r="F904" s="18"/>
      <c r="I904" s="18"/>
    </row>
    <row r="905">
      <c r="F905" s="18"/>
      <c r="I905" s="18"/>
    </row>
    <row r="906">
      <c r="F906" s="18"/>
      <c r="I906" s="18"/>
    </row>
    <row r="907">
      <c r="F907" s="18"/>
      <c r="I907" s="18"/>
    </row>
    <row r="908">
      <c r="F908" s="18"/>
      <c r="I908" s="18"/>
    </row>
    <row r="909">
      <c r="F909" s="18"/>
      <c r="I909" s="18"/>
    </row>
    <row r="910">
      <c r="F910" s="18"/>
      <c r="I910" s="18"/>
    </row>
    <row r="911">
      <c r="F911" s="18"/>
      <c r="I911" s="18"/>
    </row>
    <row r="912">
      <c r="F912" s="18"/>
      <c r="I912" s="18"/>
    </row>
    <row r="913">
      <c r="F913" s="18"/>
      <c r="I913" s="18"/>
    </row>
    <row r="914">
      <c r="F914" s="18"/>
      <c r="I914" s="18"/>
    </row>
    <row r="915">
      <c r="F915" s="18"/>
      <c r="I915" s="18"/>
    </row>
    <row r="916">
      <c r="F916" s="18"/>
      <c r="I916" s="18"/>
    </row>
    <row r="917">
      <c r="F917" s="18"/>
      <c r="I917" s="18"/>
    </row>
    <row r="918">
      <c r="F918" s="18"/>
      <c r="I918" s="18"/>
    </row>
    <row r="919">
      <c r="F919" s="18"/>
      <c r="I919" s="18"/>
    </row>
    <row r="920">
      <c r="F920" s="18"/>
      <c r="I920" s="18"/>
    </row>
    <row r="921">
      <c r="F921" s="18"/>
      <c r="I921" s="18"/>
    </row>
    <row r="922">
      <c r="F922" s="18"/>
      <c r="I922" s="18"/>
    </row>
    <row r="923">
      <c r="F923" s="18"/>
      <c r="I923" s="18"/>
    </row>
    <row r="924">
      <c r="F924" s="18"/>
      <c r="I924" s="18"/>
    </row>
    <row r="925">
      <c r="F925" s="18"/>
      <c r="I925" s="18"/>
    </row>
    <row r="926">
      <c r="F926" s="18"/>
      <c r="I926" s="18"/>
    </row>
    <row r="927">
      <c r="F927" s="18"/>
      <c r="I927" s="18"/>
    </row>
    <row r="928">
      <c r="F928" s="18"/>
      <c r="I928" s="18"/>
    </row>
    <row r="929">
      <c r="F929" s="18"/>
      <c r="I929" s="18"/>
    </row>
    <row r="930">
      <c r="F930" s="18"/>
      <c r="I930" s="18"/>
    </row>
    <row r="931">
      <c r="F931" s="18"/>
      <c r="I931" s="18"/>
    </row>
    <row r="932">
      <c r="F932" s="18"/>
      <c r="I932" s="18"/>
    </row>
    <row r="933">
      <c r="F933" s="18"/>
      <c r="I933" s="18"/>
    </row>
    <row r="934">
      <c r="F934" s="18"/>
      <c r="I934" s="18"/>
    </row>
    <row r="935">
      <c r="F935" s="18"/>
      <c r="I935" s="18"/>
    </row>
    <row r="936">
      <c r="F936" s="18"/>
      <c r="I936" s="18"/>
    </row>
    <row r="937">
      <c r="F937" s="18"/>
      <c r="I937" s="18"/>
    </row>
    <row r="938">
      <c r="F938" s="18"/>
      <c r="I938" s="18"/>
    </row>
    <row r="939">
      <c r="F939" s="18"/>
      <c r="I939" s="18"/>
    </row>
    <row r="940">
      <c r="F940" s="18"/>
      <c r="I940" s="18"/>
    </row>
    <row r="941">
      <c r="F941" s="18"/>
      <c r="I941" s="18"/>
    </row>
    <row r="942">
      <c r="F942" s="18"/>
      <c r="I942" s="18"/>
    </row>
    <row r="943">
      <c r="F943" s="18"/>
      <c r="I943" s="18"/>
    </row>
    <row r="944">
      <c r="F944" s="18"/>
      <c r="I944" s="18"/>
    </row>
    <row r="945">
      <c r="F945" s="18"/>
      <c r="I945" s="18"/>
    </row>
    <row r="946">
      <c r="F946" s="18"/>
      <c r="I946" s="18"/>
    </row>
    <row r="947">
      <c r="F947" s="18"/>
      <c r="I947" s="18"/>
    </row>
    <row r="948">
      <c r="F948" s="18"/>
      <c r="I948" s="18"/>
    </row>
    <row r="949">
      <c r="F949" s="18"/>
      <c r="I949" s="18"/>
    </row>
    <row r="950">
      <c r="F950" s="18"/>
      <c r="I950" s="18"/>
    </row>
    <row r="951">
      <c r="F951" s="18"/>
      <c r="I951" s="18"/>
    </row>
    <row r="952">
      <c r="F952" s="18"/>
      <c r="I952" s="18"/>
    </row>
    <row r="953">
      <c r="F953" s="18"/>
      <c r="I953" s="18"/>
    </row>
    <row r="954">
      <c r="F954" s="18"/>
      <c r="I954" s="18"/>
    </row>
    <row r="955">
      <c r="F955" s="18"/>
      <c r="I955" s="18"/>
    </row>
    <row r="956">
      <c r="F956" s="18"/>
      <c r="I956" s="18"/>
    </row>
    <row r="957">
      <c r="F957" s="18"/>
      <c r="I957" s="18"/>
    </row>
    <row r="958">
      <c r="F958" s="18"/>
      <c r="I958" s="18"/>
    </row>
    <row r="959">
      <c r="F959" s="18"/>
      <c r="I959" s="18"/>
    </row>
    <row r="960">
      <c r="F960" s="18"/>
      <c r="I960" s="18"/>
    </row>
    <row r="961">
      <c r="F961" s="18"/>
      <c r="I961" s="18"/>
    </row>
    <row r="962">
      <c r="F962" s="18"/>
      <c r="I962" s="18"/>
    </row>
    <row r="963">
      <c r="F963" s="18"/>
      <c r="I963" s="18"/>
    </row>
    <row r="964">
      <c r="F964" s="18"/>
      <c r="I964" s="18"/>
    </row>
    <row r="965">
      <c r="F965" s="18"/>
      <c r="I965" s="18"/>
    </row>
    <row r="966">
      <c r="F966" s="18"/>
      <c r="I966" s="18"/>
    </row>
    <row r="967">
      <c r="F967" s="18"/>
      <c r="I967" s="18"/>
    </row>
    <row r="968">
      <c r="F968" s="18"/>
      <c r="I968" s="18"/>
    </row>
    <row r="969">
      <c r="F969" s="18"/>
      <c r="I969" s="18"/>
    </row>
    <row r="970">
      <c r="F970" s="18"/>
      <c r="I970" s="18"/>
    </row>
    <row r="971">
      <c r="F971" s="18"/>
      <c r="I971" s="18"/>
    </row>
    <row r="972">
      <c r="F972" s="18"/>
      <c r="I972" s="18"/>
    </row>
    <row r="973">
      <c r="F973" s="18"/>
      <c r="I973" s="18"/>
    </row>
    <row r="974">
      <c r="F974" s="18"/>
      <c r="I974" s="18"/>
    </row>
    <row r="975">
      <c r="F975" s="18"/>
      <c r="I975" s="18"/>
    </row>
    <row r="976">
      <c r="F976" s="18"/>
      <c r="I976" s="18"/>
    </row>
    <row r="977">
      <c r="F977" s="18"/>
      <c r="I977" s="18"/>
    </row>
    <row r="978">
      <c r="F978" s="18"/>
      <c r="I978" s="18"/>
    </row>
    <row r="979">
      <c r="F979" s="18"/>
      <c r="I979" s="18"/>
    </row>
    <row r="980">
      <c r="F980" s="18"/>
      <c r="I980" s="18"/>
    </row>
    <row r="981">
      <c r="F981" s="18"/>
      <c r="I981" s="18"/>
    </row>
    <row r="982">
      <c r="F982" s="18"/>
      <c r="I982" s="18"/>
    </row>
    <row r="983">
      <c r="F983" s="18"/>
      <c r="I983" s="18"/>
    </row>
    <row r="984">
      <c r="F984" s="18"/>
      <c r="I984" s="18"/>
    </row>
    <row r="985">
      <c r="F985" s="18"/>
      <c r="I985" s="18"/>
    </row>
    <row r="986">
      <c r="F986" s="18"/>
      <c r="I986" s="18"/>
    </row>
    <row r="987">
      <c r="F987" s="18"/>
      <c r="I987" s="18"/>
    </row>
    <row r="988">
      <c r="F988" s="18"/>
      <c r="I988" s="18"/>
    </row>
    <row r="989">
      <c r="F989" s="18"/>
      <c r="I989" s="18"/>
    </row>
    <row r="990">
      <c r="F990" s="18"/>
      <c r="I990" s="18"/>
    </row>
    <row r="991">
      <c r="F991" s="18"/>
      <c r="I991" s="18"/>
    </row>
    <row r="992">
      <c r="F992" s="18"/>
      <c r="I992" s="18"/>
    </row>
    <row r="993">
      <c r="F993" s="18"/>
      <c r="I993" s="1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2" max="2" width="19.88"/>
    <col customWidth="1" min="3" max="3" width="31.38"/>
    <col customWidth="1" min="4" max="4" width="22.75"/>
    <col customWidth="1" min="5" max="5" width="29.38"/>
    <col customWidth="1" min="6" max="6" width="27.38"/>
  </cols>
  <sheetData>
    <row r="1">
      <c r="A1" s="16" t="s">
        <v>10</v>
      </c>
      <c r="B1" s="16" t="s">
        <v>11</v>
      </c>
      <c r="C1" s="16" t="s">
        <v>12</v>
      </c>
      <c r="D1" s="16" t="s">
        <v>13</v>
      </c>
      <c r="E1" s="16" t="s">
        <v>14</v>
      </c>
      <c r="F1" s="16" t="s">
        <v>15</v>
      </c>
    </row>
    <row r="2">
      <c r="A2" s="16">
        <v>2010.0</v>
      </c>
      <c r="B2" s="16">
        <v>81.0</v>
      </c>
      <c r="C2" s="16">
        <v>0.0</v>
      </c>
      <c r="D2" s="16" t="s">
        <v>16</v>
      </c>
      <c r="E2" s="16">
        <v>0.0</v>
      </c>
      <c r="F2" s="16">
        <v>0.0</v>
      </c>
    </row>
    <row r="3">
      <c r="A3" s="16">
        <v>2011.0</v>
      </c>
      <c r="B3" s="16">
        <v>108.0</v>
      </c>
      <c r="C3" s="16">
        <v>0.0</v>
      </c>
      <c r="D3" s="16">
        <v>189.0</v>
      </c>
      <c r="E3" s="16">
        <v>0.0</v>
      </c>
      <c r="F3" s="16">
        <v>0.0</v>
      </c>
    </row>
    <row r="4">
      <c r="A4" s="16">
        <v>2012.0</v>
      </c>
      <c r="B4" s="16">
        <v>51.0</v>
      </c>
      <c r="C4" s="16">
        <v>0.0</v>
      </c>
      <c r="D4" s="16">
        <v>240.0</v>
      </c>
      <c r="E4" s="16">
        <v>0.0</v>
      </c>
      <c r="F4" s="16">
        <v>0.0</v>
      </c>
    </row>
    <row r="5">
      <c r="A5" s="16">
        <v>2013.0</v>
      </c>
      <c r="B5" s="16">
        <v>45.0</v>
      </c>
      <c r="C5" s="16">
        <v>0.0</v>
      </c>
      <c r="D5" s="16">
        <v>285.0</v>
      </c>
      <c r="E5" s="16">
        <v>0.0</v>
      </c>
      <c r="F5" s="16">
        <v>0.0</v>
      </c>
    </row>
    <row r="6">
      <c r="A6" s="16">
        <v>2014.0</v>
      </c>
      <c r="B6" s="16">
        <v>8.0</v>
      </c>
      <c r="C6" s="16">
        <v>0.0</v>
      </c>
      <c r="D6" s="16">
        <v>293.0</v>
      </c>
      <c r="E6" s="16">
        <v>0.0</v>
      </c>
      <c r="F6" s="16">
        <v>0.0</v>
      </c>
    </row>
    <row r="7">
      <c r="A7" s="16">
        <v>2015.0</v>
      </c>
      <c r="B7" s="16">
        <v>5.0</v>
      </c>
      <c r="C7" s="16">
        <v>0.0</v>
      </c>
      <c r="D7" s="16">
        <v>298.0</v>
      </c>
      <c r="E7" s="16">
        <v>0.0</v>
      </c>
      <c r="F7" s="16">
        <v>0.0</v>
      </c>
    </row>
    <row r="8">
      <c r="A8" s="16">
        <v>2016.0</v>
      </c>
      <c r="B8" s="16">
        <v>3.0</v>
      </c>
      <c r="C8" s="16">
        <v>0.0</v>
      </c>
      <c r="D8" s="16">
        <v>301.0</v>
      </c>
      <c r="E8" s="16">
        <v>0.0</v>
      </c>
      <c r="F8" s="16">
        <v>0.0</v>
      </c>
    </row>
    <row r="9">
      <c r="A9" s="16">
        <v>2017.0</v>
      </c>
      <c r="B9" s="16">
        <v>95.0</v>
      </c>
      <c r="C9" s="16">
        <v>0.0</v>
      </c>
      <c r="D9" s="16">
        <v>396.0</v>
      </c>
      <c r="E9" s="16">
        <v>0.0</v>
      </c>
      <c r="F9" s="16">
        <v>0.0</v>
      </c>
    </row>
    <row r="10">
      <c r="A10" s="16">
        <v>2018.0</v>
      </c>
      <c r="B10" s="16">
        <v>516.0</v>
      </c>
      <c r="C10" s="16">
        <v>0.0</v>
      </c>
      <c r="D10" s="16">
        <v>912.0</v>
      </c>
      <c r="E10" s="16">
        <v>0.0</v>
      </c>
      <c r="F10" s="16">
        <v>0.0</v>
      </c>
    </row>
    <row r="11">
      <c r="A11" s="16">
        <v>2019.0</v>
      </c>
      <c r="B11" s="16">
        <v>1527.0</v>
      </c>
      <c r="C11" s="16">
        <v>0.0</v>
      </c>
      <c r="D11" s="16">
        <v>2439.0</v>
      </c>
      <c r="E11" s="16">
        <v>0.0</v>
      </c>
      <c r="F11" s="16">
        <v>0.0</v>
      </c>
    </row>
    <row r="12">
      <c r="A12" s="16">
        <v>2020.0</v>
      </c>
      <c r="B12" s="16">
        <v>2749.0</v>
      </c>
      <c r="C12" s="41">
        <v>0.01</v>
      </c>
      <c r="D12" s="16">
        <v>5188.0</v>
      </c>
      <c r="E12" s="42">
        <f t="shared" ref="E12:E18" si="1">$C12*$B12</f>
        <v>27.49</v>
      </c>
      <c r="F12" s="42">
        <f>E12</f>
        <v>27.49</v>
      </c>
    </row>
    <row r="13">
      <c r="A13" s="16">
        <v>2021.0</v>
      </c>
      <c r="B13" s="16">
        <v>6157.0</v>
      </c>
      <c r="C13" s="41">
        <v>0.01</v>
      </c>
      <c r="D13" s="16">
        <v>11345.0</v>
      </c>
      <c r="E13" s="42">
        <f t="shared" si="1"/>
        <v>61.57</v>
      </c>
      <c r="F13" s="42">
        <f t="shared" ref="F13:F18" si="2">F12+E13</f>
        <v>89.06</v>
      </c>
    </row>
    <row r="14">
      <c r="A14" s="16">
        <v>2022.0</v>
      </c>
      <c r="B14" s="16">
        <v>7906.0</v>
      </c>
      <c r="C14" s="41">
        <v>0.025</v>
      </c>
      <c r="D14" s="16">
        <v>19251.0</v>
      </c>
      <c r="E14" s="42">
        <f t="shared" si="1"/>
        <v>197.65</v>
      </c>
      <c r="F14" s="42">
        <f t="shared" si="2"/>
        <v>286.71</v>
      </c>
    </row>
    <row r="15">
      <c r="A15" s="16">
        <v>2023.0</v>
      </c>
      <c r="B15" s="16">
        <v>9558.0</v>
      </c>
      <c r="C15" s="41">
        <v>0.038</v>
      </c>
      <c r="D15" s="16">
        <v>28809.0</v>
      </c>
      <c r="E15" s="42">
        <f t="shared" si="1"/>
        <v>363.204</v>
      </c>
      <c r="F15" s="42">
        <f t="shared" si="2"/>
        <v>649.914</v>
      </c>
    </row>
    <row r="16">
      <c r="A16" s="16">
        <v>2024.0</v>
      </c>
      <c r="B16" s="16">
        <v>14175.0</v>
      </c>
      <c r="C16" s="41">
        <v>0.11</v>
      </c>
      <c r="D16" s="16">
        <v>42984.0</v>
      </c>
      <c r="E16" s="42">
        <f t="shared" si="1"/>
        <v>1559.25</v>
      </c>
      <c r="F16" s="42">
        <f t="shared" si="2"/>
        <v>2209.164</v>
      </c>
    </row>
    <row r="17">
      <c r="A17" s="16">
        <v>2025.0</v>
      </c>
      <c r="B17" s="16">
        <v>26632.0</v>
      </c>
      <c r="C17" s="41">
        <v>0.21</v>
      </c>
      <c r="D17" s="16">
        <v>69616.0</v>
      </c>
      <c r="E17" s="42">
        <f t="shared" si="1"/>
        <v>5592.72</v>
      </c>
      <c r="F17" s="42">
        <f t="shared" si="2"/>
        <v>7801.884</v>
      </c>
      <c r="H17" s="43" t="s">
        <v>17</v>
      </c>
    </row>
    <row r="18">
      <c r="A18" s="16" t="s">
        <v>18</v>
      </c>
      <c r="B18" s="16">
        <v>42238.0</v>
      </c>
      <c r="C18" s="41">
        <v>0.3</v>
      </c>
      <c r="D18" s="44">
        <v>111854.0</v>
      </c>
      <c r="E18" s="42">
        <f t="shared" si="1"/>
        <v>12671.4</v>
      </c>
      <c r="F18" s="45">
        <f t="shared" si="2"/>
        <v>20473.284</v>
      </c>
      <c r="H18" s="46">
        <f>F18/D18</f>
        <v>0.1830357788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2.75"/>
    <col customWidth="1" min="11" max="11" width="15.88"/>
  </cols>
  <sheetData>
    <row r="1" ht="22.5" customHeight="1">
      <c r="A1" s="47" t="s">
        <v>19</v>
      </c>
      <c r="B1" s="47" t="s">
        <v>20</v>
      </c>
      <c r="C1" s="48" t="s">
        <v>21</v>
      </c>
      <c r="D1" s="48" t="s">
        <v>22</v>
      </c>
      <c r="E1" s="48" t="s">
        <v>23</v>
      </c>
      <c r="F1" s="49" t="s">
        <v>24</v>
      </c>
      <c r="G1" s="48" t="s">
        <v>25</v>
      </c>
      <c r="H1" s="48" t="s">
        <v>26</v>
      </c>
    </row>
    <row r="2" ht="22.5" customHeight="1">
      <c r="A2" s="50">
        <v>164500.0</v>
      </c>
      <c r="B2" s="51">
        <v>34.0</v>
      </c>
      <c r="C2" s="52">
        <f t="shared" ref="C2:C9" si="1">LN($A2)</f>
        <v>12.01066585</v>
      </c>
      <c r="D2" s="52">
        <f t="shared" ref="D2:D9" si="2">POWER(C2,2)</f>
        <v>144.2560941</v>
      </c>
      <c r="E2" s="52">
        <f t="shared" ref="E2:E9" si="3">C2*B2</f>
        <v>408.3626389</v>
      </c>
      <c r="F2" s="53">
        <f t="shared" ref="F2:F9" si="4">$K$20*$C2+$K$21</f>
        <v>38.35529093</v>
      </c>
      <c r="G2" s="52">
        <f t="shared" ref="G2:G9" si="5">ABS(F2-B2)</f>
        <v>4.355290925</v>
      </c>
      <c r="H2" s="51">
        <f t="shared" ref="H2:H9" si="6">POWER(G2,2)</f>
        <v>18.96855904</v>
      </c>
      <c r="I2" s="16"/>
      <c r="J2" s="54" t="s">
        <v>27</v>
      </c>
      <c r="K2" s="16">
        <f>Datos_Log[[#TOTALS],[X²]]</f>
        <v>1202.756684</v>
      </c>
      <c r="L2" s="55" t="s">
        <v>28</v>
      </c>
      <c r="M2" s="56" t="s">
        <v>29</v>
      </c>
      <c r="N2" s="42">
        <f>Datos_Log[[#TOTALS],[X=ln(x)]]</f>
        <v>98.08494193</v>
      </c>
      <c r="O2" s="55" t="s">
        <v>30</v>
      </c>
      <c r="P2" s="42">
        <f>Datos_Log[[#TOTALS],[X.Y]]</f>
        <v>5270.477816</v>
      </c>
    </row>
    <row r="3" ht="22.5" customHeight="1">
      <c r="A3" s="50">
        <v>185000.0</v>
      </c>
      <c r="B3" s="51">
        <v>41.0</v>
      </c>
      <c r="C3" s="52">
        <f t="shared" si="1"/>
        <v>12.1281111</v>
      </c>
      <c r="D3" s="52">
        <f t="shared" si="2"/>
        <v>147.091079</v>
      </c>
      <c r="E3" s="52">
        <f t="shared" si="3"/>
        <v>497.2525553</v>
      </c>
      <c r="F3" s="53">
        <f t="shared" si="4"/>
        <v>45.53009108</v>
      </c>
      <c r="G3" s="52">
        <f t="shared" si="5"/>
        <v>4.530091081</v>
      </c>
      <c r="H3" s="51">
        <f t="shared" si="6"/>
        <v>20.5217252</v>
      </c>
      <c r="I3" s="16"/>
      <c r="J3" s="54" t="s">
        <v>27</v>
      </c>
      <c r="K3" s="42">
        <f>Datos_Log[[#TOTALS],[X=ln(x)]]</f>
        <v>98.08494193</v>
      </c>
      <c r="L3" s="55" t="s">
        <v>28</v>
      </c>
      <c r="M3" s="56" t="s">
        <v>29</v>
      </c>
      <c r="N3" s="42">
        <f>COUNT(Datos_Log[x])</f>
        <v>8</v>
      </c>
      <c r="O3" s="55" t="s">
        <v>30</v>
      </c>
      <c r="P3" s="18">
        <f>Datos_Log[[#TOTALS],[y]]</f>
        <v>429</v>
      </c>
    </row>
    <row r="4" ht="22.5" customHeight="1">
      <c r="A4" s="50">
        <v>185500.0</v>
      </c>
      <c r="B4" s="51">
        <v>54.0</v>
      </c>
      <c r="C4" s="52">
        <f t="shared" si="1"/>
        <v>12.13081016</v>
      </c>
      <c r="D4" s="52">
        <f t="shared" si="2"/>
        <v>147.1565552</v>
      </c>
      <c r="E4" s="52">
        <f t="shared" si="3"/>
        <v>655.0637487</v>
      </c>
      <c r="F4" s="53">
        <f t="shared" si="4"/>
        <v>45.69497807</v>
      </c>
      <c r="G4" s="52">
        <f t="shared" si="5"/>
        <v>8.305021931</v>
      </c>
      <c r="H4" s="52">
        <f t="shared" si="6"/>
        <v>68.97338928</v>
      </c>
    </row>
    <row r="5" ht="22.5" customHeight="1">
      <c r="A5" s="50">
        <v>214000.0</v>
      </c>
      <c r="B5" s="51">
        <v>53.0</v>
      </c>
      <c r="C5" s="52">
        <f t="shared" si="1"/>
        <v>12.27373129</v>
      </c>
      <c r="D5" s="52">
        <f t="shared" si="2"/>
        <v>150.6444799</v>
      </c>
      <c r="E5" s="52">
        <f t="shared" si="3"/>
        <v>650.5077586</v>
      </c>
      <c r="F5" s="53">
        <f t="shared" si="4"/>
        <v>54.4261147</v>
      </c>
      <c r="G5" s="52">
        <f t="shared" si="5"/>
        <v>1.426114701</v>
      </c>
      <c r="H5" s="51">
        <f t="shared" si="6"/>
        <v>2.03380314</v>
      </c>
      <c r="I5" s="16"/>
      <c r="J5" s="54" t="s">
        <v>27</v>
      </c>
      <c r="K5" s="42">
        <f>Datos_Log[[#TOTALS],[X=ln(x)]]/8</f>
        <v>12.26061774</v>
      </c>
      <c r="L5" s="55" t="s">
        <v>28</v>
      </c>
      <c r="M5" s="56" t="s">
        <v>29</v>
      </c>
      <c r="N5" s="42">
        <f>COUNT(Datos_Log[x])/8</f>
        <v>1</v>
      </c>
      <c r="O5" s="55" t="s">
        <v>30</v>
      </c>
      <c r="P5" s="42">
        <f>Datos_Log[[#TOTALS],[y]]/8</f>
        <v>53.625</v>
      </c>
    </row>
    <row r="6" ht="22.5" customHeight="1">
      <c r="A6" s="50">
        <v>225500.0</v>
      </c>
      <c r="B6" s="51">
        <v>68.0</v>
      </c>
      <c r="C6" s="52">
        <f t="shared" si="1"/>
        <v>12.32607544</v>
      </c>
      <c r="D6" s="52">
        <f t="shared" si="2"/>
        <v>151.9321357</v>
      </c>
      <c r="E6" s="52">
        <f t="shared" si="3"/>
        <v>838.1731298</v>
      </c>
      <c r="F6" s="53">
        <f t="shared" si="4"/>
        <v>57.62384944</v>
      </c>
      <c r="G6" s="52">
        <f t="shared" si="5"/>
        <v>10.37615056</v>
      </c>
      <c r="H6" s="52">
        <f t="shared" si="6"/>
        <v>107.6645004</v>
      </c>
      <c r="N6" s="56" t="s">
        <v>29</v>
      </c>
      <c r="O6" s="55" t="s">
        <v>30</v>
      </c>
      <c r="P6" s="42">
        <f>Datos_Log[[#TOTALS],[y]]/8</f>
        <v>53.625</v>
      </c>
      <c r="Q6" s="55" t="s">
        <v>31</v>
      </c>
      <c r="R6" s="54" t="s">
        <v>27</v>
      </c>
      <c r="S6" s="42">
        <f>Datos_Log[[#TOTALS],[X=ln(x)]]/8</f>
        <v>12.26061774</v>
      </c>
    </row>
    <row r="7" ht="22.5" customHeight="1">
      <c r="A7" s="50">
        <v>228500.0</v>
      </c>
      <c r="B7" s="51">
        <v>56.0</v>
      </c>
      <c r="C7" s="52">
        <f t="shared" si="1"/>
        <v>12.33929149</v>
      </c>
      <c r="D7" s="52">
        <f t="shared" si="2"/>
        <v>152.2581145</v>
      </c>
      <c r="E7" s="52">
        <f t="shared" si="3"/>
        <v>691.0003234</v>
      </c>
      <c r="F7" s="53">
        <f t="shared" si="4"/>
        <v>58.43122585</v>
      </c>
      <c r="G7" s="52">
        <f t="shared" si="5"/>
        <v>2.431225848</v>
      </c>
      <c r="H7" s="52">
        <f t="shared" si="6"/>
        <v>5.910859126</v>
      </c>
    </row>
    <row r="8" ht="22.5" customHeight="1">
      <c r="A8" s="50">
        <v>241000.0</v>
      </c>
      <c r="B8" s="51">
        <v>59.0</v>
      </c>
      <c r="C8" s="52">
        <f t="shared" si="1"/>
        <v>12.39255221</v>
      </c>
      <c r="D8" s="52">
        <f t="shared" si="2"/>
        <v>153.5753503</v>
      </c>
      <c r="E8" s="52">
        <f t="shared" si="3"/>
        <v>731.1605805</v>
      </c>
      <c r="F8" s="53">
        <f t="shared" si="4"/>
        <v>61.68495496</v>
      </c>
      <c r="G8" s="52">
        <f t="shared" si="5"/>
        <v>2.68495496</v>
      </c>
      <c r="H8" s="52">
        <f t="shared" si="6"/>
        <v>7.208983137</v>
      </c>
    </row>
    <row r="9" ht="22.5" customHeight="1">
      <c r="A9" s="50">
        <v>264000.0</v>
      </c>
      <c r="B9" s="51">
        <v>64.0</v>
      </c>
      <c r="C9" s="52">
        <f t="shared" si="1"/>
        <v>12.48370438</v>
      </c>
      <c r="D9" s="52">
        <f t="shared" si="2"/>
        <v>155.8428751</v>
      </c>
      <c r="E9" s="52">
        <f t="shared" si="3"/>
        <v>798.9570805</v>
      </c>
      <c r="F9" s="53">
        <f t="shared" si="4"/>
        <v>67.25349497</v>
      </c>
      <c r="G9" s="52">
        <f t="shared" si="5"/>
        <v>3.253494972</v>
      </c>
      <c r="H9" s="51">
        <f t="shared" si="6"/>
        <v>10.58522953</v>
      </c>
      <c r="I9" s="16"/>
      <c r="J9" s="54" t="s">
        <v>27</v>
      </c>
      <c r="K9" s="16">
        <f>Datos_Log[[#TOTALS],[X²]]</f>
        <v>1202.756684</v>
      </c>
      <c r="L9" s="55" t="s">
        <v>28</v>
      </c>
      <c r="M9" s="42">
        <f>Datos_Log[[#TOTALS],[X=ln(x)]]</f>
        <v>98.08494193</v>
      </c>
      <c r="N9" s="16" t="s">
        <v>32</v>
      </c>
      <c r="O9" s="42">
        <f>Datos_Log[[#TOTALS],[y]]/8</f>
        <v>53.625</v>
      </c>
      <c r="P9" s="55" t="s">
        <v>31</v>
      </c>
      <c r="Q9" s="54" t="s">
        <v>27</v>
      </c>
      <c r="R9" s="42">
        <f>Datos_Log[[#TOTALS],[X=ln(x)]]/8</f>
        <v>12.26061774</v>
      </c>
      <c r="S9" s="55" t="s">
        <v>30</v>
      </c>
      <c r="T9" s="42">
        <f>Datos_Log[[#TOTALS],[X.Y]]</f>
        <v>5270.477816</v>
      </c>
    </row>
    <row r="10" ht="22.5" customHeight="1">
      <c r="A10" s="50">
        <f>SUM(Datos_Log[x])</f>
        <v>1708000</v>
      </c>
      <c r="B10" s="57">
        <f>SUM(Datos_Log[y])</f>
        <v>429</v>
      </c>
      <c r="C10" s="52">
        <f>SUM(Datos_Log[X=ln(x)])</f>
        <v>98.08494193</v>
      </c>
      <c r="D10" s="52">
        <f>SUM(Datos_Log[X²])</f>
        <v>1202.756684</v>
      </c>
      <c r="E10" s="52">
        <f>SUM(Datos_Log[X.Y])</f>
        <v>5270.477816</v>
      </c>
      <c r="F10" s="53">
        <f>SUM(Datos_Log[P(x)])</f>
        <v>429</v>
      </c>
      <c r="G10" s="52">
        <f>SUM(Datos_Log[d])</f>
        <v>37.36234497</v>
      </c>
      <c r="H10" s="52">
        <f>SUM(Datos_Log[d²])</f>
        <v>241.8670488</v>
      </c>
    </row>
    <row r="11" ht="25.5" customHeight="1">
      <c r="A11" s="58" t="s">
        <v>33</v>
      </c>
      <c r="B11" s="58" t="s">
        <v>34</v>
      </c>
      <c r="C11" s="58" t="s">
        <v>21</v>
      </c>
      <c r="H11" s="42">
        <f>SQRT(Datos_Log[[#TOTALS],[d²]]/8)</f>
        <v>5.498488983</v>
      </c>
      <c r="K11" s="54" t="s">
        <v>27</v>
      </c>
      <c r="L11" s="16">
        <f>Datos_Log[[#TOTALS],[X²]]</f>
        <v>1202.756684</v>
      </c>
      <c r="M11" s="55" t="s">
        <v>28</v>
      </c>
      <c r="N11" s="42">
        <f>M9*O9</f>
        <v>5259.805011</v>
      </c>
      <c r="O11" s="55" t="s">
        <v>31</v>
      </c>
      <c r="P11" s="42">
        <f>M9*R9</f>
        <v>1202.581979</v>
      </c>
      <c r="Q11" s="54" t="s">
        <v>27</v>
      </c>
      <c r="R11" s="55" t="s">
        <v>30</v>
      </c>
      <c r="S11" s="42">
        <f>Datos_Log[[#TOTALS],[X.Y]]</f>
        <v>5270.477816</v>
      </c>
    </row>
    <row r="13">
      <c r="K13" s="54" t="s">
        <v>27</v>
      </c>
      <c r="L13" s="42">
        <f>L11-P11</f>
        <v>0.1747045531</v>
      </c>
      <c r="M13" s="55" t="s">
        <v>30</v>
      </c>
      <c r="N13" s="42">
        <f>S11-N11</f>
        <v>10.67280459</v>
      </c>
    </row>
    <row r="14">
      <c r="L14" s="54" t="s">
        <v>27</v>
      </c>
      <c r="M14" s="55" t="s">
        <v>30</v>
      </c>
      <c r="N14" s="42">
        <f>N13/L13</f>
        <v>61.09059207</v>
      </c>
    </row>
    <row r="15">
      <c r="L15" s="56" t="s">
        <v>29</v>
      </c>
      <c r="M15" s="55" t="s">
        <v>30</v>
      </c>
      <c r="N15" s="42">
        <f>P6-(S6*N14)</f>
        <v>-695.3833969</v>
      </c>
    </row>
    <row r="20">
      <c r="K20" s="42">
        <f>SLOPE(Datos_Log[y],Datos_Log[X=ln(x)])</f>
        <v>61.09059207</v>
      </c>
    </row>
    <row r="21">
      <c r="K21" s="42">
        <f>INTERCEPT(Datos_Log[y],Datos_Log[X=ln(x)])</f>
        <v>-695.3833969</v>
      </c>
    </row>
    <row r="22">
      <c r="K22" s="59">
        <f>RSQ(Datos_Log[y],Datos_Log[x])</f>
        <v>0.6995915026</v>
      </c>
    </row>
    <row r="23">
      <c r="K23" s="42" t="str">
        <f>1-SUM((B2:B9-F2:F9)^2)/SUM((B2:B9-AVERAGE(B2:B9))^2)</f>
        <v>#VALUE!</v>
      </c>
    </row>
    <row r="24">
      <c r="K24" s="42">
        <f>RSQ(Datos_Log[y],Datos_Log[X=ln(x)])</f>
        <v>0.7294173695</v>
      </c>
    </row>
  </sheetData>
  <dataValidations>
    <dataValidation type="custom" allowBlank="1" showDropDown="1" sqref="A2:A9 F2:F9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