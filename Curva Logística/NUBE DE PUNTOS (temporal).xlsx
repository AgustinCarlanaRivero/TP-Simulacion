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y Nube de Puntos (CABA)" sheetId="1" r:id="rId5"/>
    <sheet state="visible" name="Versión % Cargables Variable (C" sheetId="2" r:id="rId6"/>
    <sheet state="visible" name="% Vehiculos Cargables (Arg)" sheetId="3" r:id="rId7"/>
    <sheet state="hidden" name="Aprox. Logaritmicaold" sheetId="4" r:id="rId8"/>
  </sheets>
  <definedNames/>
  <calcPr/>
</workbook>
</file>

<file path=xl/sharedStrings.xml><?xml version="1.0" encoding="utf-8"?>
<sst xmlns="http://schemas.openxmlformats.org/spreadsheetml/2006/main" count="71" uniqueCount="34">
  <si>
    <t>Trimestre</t>
  </si>
  <si>
    <t>Total Autos Nuevos</t>
  </si>
  <si>
    <t>Porcentaje Eléctricos (+ Híbridos)</t>
  </si>
  <si>
    <t>Autos Eléctricos Nuevos</t>
  </si>
  <si>
    <t>Total Autos Eléctricos</t>
  </si>
  <si>
    <t>Porcentaje Cargables (BEV + PHEV)</t>
  </si>
  <si>
    <t>Total Autos Eléctricos Cargables</t>
  </si>
  <si>
    <t>Porcentaje que Carga en Estaciones</t>
  </si>
  <si>
    <t>Demanda Total</t>
  </si>
  <si>
    <t>Año</t>
  </si>
  <si>
    <t>Patentamientos en el año</t>
  </si>
  <si>
    <t>% de enchufables (modelos BEV+PHEV)</t>
  </si>
  <si>
    <t>Parque Acumulado</t>
  </si>
  <si>
    <t>Patentamientos BEV+PHEV en el año</t>
  </si>
  <si>
    <t>Parque Acumulado de BEV+PHEV</t>
  </si>
  <si>
    <t>81 (primeros registros de EV)</t>
  </si>
  <si>
    <t>PORCENTAJE DE BEV+PHEV</t>
  </si>
  <si>
    <t>2026
(hasta 1° semestre)</t>
  </si>
  <si>
    <t>x</t>
  </si>
  <si>
    <t>y</t>
  </si>
  <si>
    <t>X=ln(x)</t>
  </si>
  <si>
    <t>X²</t>
  </si>
  <si>
    <t>X.Y</t>
  </si>
  <si>
    <t>P(x)</t>
  </si>
  <si>
    <t>d</t>
  </si>
  <si>
    <t>d²</t>
  </si>
  <si>
    <t>A</t>
  </si>
  <si>
    <t>"+"</t>
  </si>
  <si>
    <t>B</t>
  </si>
  <si>
    <t>"="</t>
  </si>
  <si>
    <t>"-"</t>
  </si>
  <si>
    <t>"*"</t>
  </si>
  <si>
    <t>y=A.ln(x)+B</t>
  </si>
  <si>
    <t>y=A.X+B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</si>
</sst>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&quot;$&quot;#,##0.00"/>
    <numFmt numFmtId="166" formatCode="&quot;$&quot;#,##0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9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111111"/>
      <name val="Roboto"/>
    </font>
    <font>
      <b/>
      <sz val="9.0"/>
      <color theme="1"/>
      <name val="Arial"/>
    </font>
    <font>
      <sz val="8.0"/>
      <color theme="1"/>
      <name val="Arial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5">
    <border/>
    <border>
      <top style="thin">
        <color rgb="FFDDDDDD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3" xfId="0" applyAlignment="1" applyFont="1" applyNumberForma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1" fillId="0" fontId="2" numFmtId="165" xfId="0" applyAlignment="1" applyBorder="1" applyFont="1" applyNumberFormat="1">
      <alignment vertical="top"/>
    </xf>
    <xf borderId="0" fillId="0" fontId="2" numFmtId="3" xfId="0" applyAlignment="1" applyFont="1" applyNumberFormat="1">
      <alignment vertical="bottom"/>
    </xf>
    <xf borderId="0" fillId="0" fontId="4" numFmtId="0" xfId="0" applyAlignment="1" applyFont="1">
      <alignment horizontal="center" readingOrder="0" shrinkToFit="0" vertical="center" wrapText="1"/>
    </xf>
    <xf borderId="0" fillId="0" fontId="4" numFmtId="3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3" xfId="0" applyFont="1" applyNumberFormat="1"/>
    <xf borderId="0" fillId="0" fontId="3" numFmtId="2" xfId="0" applyAlignment="1" applyFont="1" applyNumberFormat="1">
      <alignment horizontal="right"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1" fillId="0" fontId="6" numFmtId="165" xfId="0" applyAlignment="1" applyBorder="1" applyFont="1" applyNumberFormat="1">
      <alignment horizontal="left" readingOrder="0" vertical="top"/>
    </xf>
    <xf borderId="0" fillId="0" fontId="7" numFmtId="164" xfId="0" applyAlignment="1" applyFont="1" applyNumberFormat="1">
      <alignment horizontal="center" vertical="bottom"/>
    </xf>
    <xf borderId="0" fillId="0" fontId="7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3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vertical="bottom"/>
    </xf>
    <xf borderId="2" fillId="0" fontId="7" numFmtId="164" xfId="0" applyAlignment="1" applyBorder="1" applyFont="1" applyNumberFormat="1">
      <alignment horizontal="center" vertical="bottom"/>
    </xf>
    <xf borderId="0" fillId="0" fontId="7" numFmtId="0" xfId="0" applyAlignment="1" applyFont="1">
      <alignment horizontal="center" readingOrder="0" shrinkToFit="0" vertical="bottom" wrapText="0"/>
    </xf>
    <xf borderId="0" fillId="0" fontId="7" numFmtId="3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/>
    </xf>
    <xf borderId="3" fillId="0" fontId="3" numFmtId="164" xfId="0" applyAlignment="1" applyBorder="1" applyFont="1" applyNumberFormat="1">
      <alignment horizontal="center" vertical="bottom"/>
    </xf>
    <xf borderId="0" fillId="0" fontId="7" numFmtId="0" xfId="0" applyAlignment="1" applyFont="1">
      <alignment horizontal="center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3" fillId="0" fontId="7" numFmtId="3" xfId="0" applyAlignment="1" applyBorder="1" applyFont="1" applyNumberFormat="1">
      <alignment horizontal="center" readingOrder="0" shrinkToFit="0" vertical="bottom" wrapText="0"/>
    </xf>
    <xf borderId="2" fillId="0" fontId="7" numFmtId="0" xfId="0" applyAlignment="1" applyBorder="1" applyFont="1">
      <alignment horizontal="center" readingOrder="0" shrinkToFit="0" vertical="bottom" wrapText="0"/>
    </xf>
    <xf borderId="2" fillId="0" fontId="7" numFmtId="3" xfId="0" applyAlignment="1" applyBorder="1" applyFont="1" applyNumberFormat="1">
      <alignment horizontal="center" readingOrder="0" shrinkToFit="0" vertical="bottom" wrapText="0"/>
    </xf>
    <xf borderId="0" fillId="0" fontId="5" numFmtId="10" xfId="0" applyAlignment="1" applyFont="1" applyNumberFormat="1">
      <alignment readingOrder="0"/>
    </xf>
    <xf borderId="0" fillId="0" fontId="5" numFmtId="0" xfId="0" applyFont="1"/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2" fontId="5" numFmtId="0" xfId="0" applyFill="1" applyFont="1"/>
    <xf borderId="0" fillId="0" fontId="4" numFmtId="0" xfId="0" applyFont="1"/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4" fillId="0" fontId="8" numFmtId="166" xfId="0" applyAlignment="1" applyBorder="1" applyFont="1" applyNumberFormat="1">
      <alignment readingOrder="0" shrinkToFit="0" vertical="bottom" wrapText="0"/>
    </xf>
    <xf borderId="4" fillId="0" fontId="5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shrinkToFit="0" vertical="center" wrapText="0"/>
    </xf>
    <xf borderId="4" fillId="0" fontId="5" numFmtId="3" xfId="0" applyAlignment="1" applyBorder="1" applyFont="1" applyNumberFormat="1">
      <alignment shrinkToFit="0" vertical="center" wrapText="0"/>
    </xf>
    <xf borderId="0" fillId="3" fontId="5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4" fillId="0" fontId="8" numFmtId="3" xfId="0" applyAlignment="1" applyBorder="1" applyFont="1" applyNumberFormat="1">
      <alignment readingOrder="0" shrinkToFit="0" vertical="bottom" wrapText="0"/>
    </xf>
    <xf borderId="0" fillId="0" fontId="9" numFmtId="0" xfId="0" applyAlignment="1" applyFont="1">
      <alignment readingOrder="0"/>
    </xf>
    <xf borderId="0" fillId="0" fontId="5" numFmtId="10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Aprox. Logaritmicaold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Demanda Total en el tiempo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'Tabla y Nube de Puntos (CABA)'!$I$1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'Tabla y Nube de Puntos (CABA)'!$A$2:$A$993</c:f>
            </c:numRef>
          </c:xVal>
          <c:yVal>
            <c:numRef>
              <c:f>'Tabla y Nube de Puntos (CABA)'!$I$2:$I$993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757727"/>
        <c:axId val="1559687002"/>
      </c:scatterChart>
      <c:valAx>
        <c:axId val="393757727"/>
        <c:scaling>
          <c:orientation val="minMax"/>
          <c:max val="35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Trimestres desde 2020 [t]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9687002"/>
      </c:valAx>
      <c:valAx>
        <c:axId val="1559687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Demanda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7577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Demanda Total en el tiempo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'Versión % Cargables Variable (C'!$I$1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'Versión % Cargables Variable (C'!$A$2:$A$993</c:f>
            </c:numRef>
          </c:xVal>
          <c:yVal>
            <c:numRef>
              <c:f>'Versión % Cargables Variable (C'!$I$2:$I$993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331890"/>
        <c:axId val="1409565942"/>
      </c:scatterChart>
      <c:valAx>
        <c:axId val="2043331890"/>
        <c:scaling>
          <c:orientation val="minMax"/>
          <c:max val="35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Trimestres desde 2020 [t]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565942"/>
      </c:valAx>
      <c:valAx>
        <c:axId val="1409565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Demanda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33318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Pesos gastados en Marketing frente a Cantidad de Clientes Potenciales Nuevos por Marketing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Clientes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Línea de tendencia</c:name>
            <c:spPr>
              <a:ln w="19050">
                <a:solidFill>
                  <a:srgbClr val="4285F4">
                    <a:alpha val="40000"/>
                  </a:srgbClr>
                </a:solidFill>
              </a:ln>
            </c:spPr>
            <c:trendlineType val="exp"/>
            <c:dispRSqr val="1"/>
            <c:dispEq val="0"/>
          </c:trendline>
          <c:xVal>
            <c:numRef>
              <c:f>'Aprox. Logaritmicaold'!$A$2:$A$9</c:f>
            </c:numRef>
          </c:xVal>
          <c:yVal>
            <c:numRef>
              <c:f>'Aprox. Logaritmicaold'!$B$2:$B$9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533409"/>
        <c:axId val="655052799"/>
      </c:scatterChart>
      <c:valAx>
        <c:axId val="1566533409"/>
        <c:scaling>
          <c:orientation val="minMax"/>
          <c:max val="350000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Gastos en Marketing [$]</a:t>
                </a:r>
              </a:p>
            </c:rich>
          </c:tx>
          <c:overlay val="0"/>
        </c:title>
        <c:numFmt formatCode="$###,K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052799"/>
      </c:valAx>
      <c:valAx>
        <c:axId val="655052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Nuevos Clientes Potenciales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65334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942975</xdr:colOff>
      <xdr:row>0</xdr:row>
      <xdr:rowOff>228600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85725</xdr:colOff>
      <xdr:row>0</xdr:row>
      <xdr:rowOff>85725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190500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H10" displayName="Datos_Log" name="Datos_Log" id="1">
  <tableColumns count="8">
    <tableColumn totalsRowFunction="custom" name="x" id="1"/>
    <tableColumn totalsRowFunction="custom" name="y" id="2"/>
    <tableColumn totalsRowFunction="custom" name="X=ln(x)" id="3"/>
    <tableColumn totalsRowFunction="custom" name="X²" id="4"/>
    <tableColumn totalsRowFunction="custom" name="X.Y" id="5"/>
    <tableColumn totalsRowFunction="custom" name="P(x)" id="6"/>
    <tableColumn totalsRowFunction="custom" name="d" id="7"/>
    <tableColumn totalsRowFunction="custom" name="d²" id="8"/>
  </tableColumns>
  <tableStyleInfo name="Aprox. Logaritmicaol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4"/>
      <c r="K1" s="4"/>
      <c r="L1" s="5"/>
      <c r="M1" s="5"/>
      <c r="N1" s="5"/>
      <c r="O1" s="5"/>
      <c r="P1" s="5"/>
      <c r="Q1" s="5"/>
    </row>
    <row r="2">
      <c r="A2" s="6">
        <v>0.0</v>
      </c>
      <c r="B2" s="7">
        <v>12401.0</v>
      </c>
      <c r="C2" s="8">
        <v>1.81360201511335</v>
      </c>
      <c r="D2" s="7">
        <f t="shared" ref="D2:D27" si="1">B2*$C2</f>
        <v>22490.47859</v>
      </c>
      <c r="E2" s="7">
        <f>D2</f>
        <v>22490.47859</v>
      </c>
      <c r="F2" s="9">
        <v>0.1830357787830565</v>
      </c>
      <c r="G2" s="10">
        <f t="shared" ref="G2:G27" si="2">E2*F2</f>
        <v>4116.562264</v>
      </c>
      <c r="H2" s="6">
        <v>0.29</v>
      </c>
      <c r="I2" s="7">
        <f t="shared" ref="I2:I27" si="3">G2*H2</f>
        <v>1193.803057</v>
      </c>
      <c r="J2" s="11"/>
      <c r="K2" s="5"/>
      <c r="L2" s="5"/>
      <c r="M2" s="5"/>
      <c r="N2" s="5"/>
      <c r="O2" s="5"/>
      <c r="P2" s="5"/>
      <c r="Q2" s="5"/>
    </row>
    <row r="3">
      <c r="A3" s="6">
        <f t="shared" ref="A3:A26" si="4">A2+1</f>
        <v>1</v>
      </c>
      <c r="B3" s="7">
        <v>7938.0</v>
      </c>
      <c r="C3" s="8">
        <v>2.2393145750170382</v>
      </c>
      <c r="D3" s="7">
        <f t="shared" si="1"/>
        <v>17775.6791</v>
      </c>
      <c r="E3" s="7">
        <f t="shared" ref="E3:E27" si="5">D3+E2</f>
        <v>40266.15769</v>
      </c>
      <c r="F3" s="9">
        <v>0.1830357787830565</v>
      </c>
      <c r="G3" s="10">
        <f t="shared" si="2"/>
        <v>7370.147531</v>
      </c>
      <c r="H3" s="6">
        <v>0.29</v>
      </c>
      <c r="I3" s="7">
        <f t="shared" si="3"/>
        <v>2137.342784</v>
      </c>
      <c r="J3" s="11"/>
      <c r="K3" s="5"/>
      <c r="L3" s="5"/>
      <c r="M3" s="5"/>
      <c r="N3" s="5"/>
      <c r="O3" s="5"/>
      <c r="P3" s="5"/>
      <c r="Q3" s="5"/>
    </row>
    <row r="4">
      <c r="A4" s="6">
        <f t="shared" si="4"/>
        <v>2</v>
      </c>
      <c r="B4" s="7">
        <v>11419.0</v>
      </c>
      <c r="C4" s="8">
        <v>2.824240864642306</v>
      </c>
      <c r="D4" s="7">
        <f t="shared" si="1"/>
        <v>32250.00643</v>
      </c>
      <c r="E4" s="7">
        <f t="shared" si="5"/>
        <v>72516.16412</v>
      </c>
      <c r="F4" s="9">
        <v>0.1830357787830565</v>
      </c>
      <c r="G4" s="10">
        <f t="shared" si="2"/>
        <v>13273.05257</v>
      </c>
      <c r="H4" s="6">
        <v>0.29</v>
      </c>
      <c r="I4" s="7">
        <f t="shared" si="3"/>
        <v>3849.185246</v>
      </c>
      <c r="J4" s="11"/>
      <c r="K4" s="5"/>
      <c r="L4" s="5"/>
      <c r="M4" s="5"/>
      <c r="N4" s="5"/>
      <c r="O4" s="5"/>
      <c r="P4" s="5"/>
      <c r="Q4" s="5"/>
    </row>
    <row r="5">
      <c r="A5" s="6">
        <f t="shared" si="4"/>
        <v>3</v>
      </c>
      <c r="B5" s="7">
        <v>12538.0</v>
      </c>
      <c r="C5" s="8">
        <v>2.354287090558767</v>
      </c>
      <c r="D5" s="7">
        <f t="shared" si="1"/>
        <v>29518.05154</v>
      </c>
      <c r="E5" s="7">
        <f t="shared" si="5"/>
        <v>102034.2157</v>
      </c>
      <c r="F5" s="9">
        <v>0.1830357787830565</v>
      </c>
      <c r="G5" s="10">
        <f t="shared" si="2"/>
        <v>18675.91213</v>
      </c>
      <c r="H5" s="6">
        <v>0.29</v>
      </c>
      <c r="I5" s="7">
        <f t="shared" si="3"/>
        <v>5416.014517</v>
      </c>
      <c r="J5" s="11"/>
      <c r="K5" s="5"/>
      <c r="L5" s="5"/>
      <c r="M5" s="5"/>
      <c r="N5" s="5"/>
      <c r="O5" s="5"/>
      <c r="P5" s="5"/>
      <c r="Q5" s="5"/>
    </row>
    <row r="6">
      <c r="A6" s="6">
        <f t="shared" si="4"/>
        <v>4</v>
      </c>
      <c r="B6" s="7">
        <v>15035.0</v>
      </c>
      <c r="C6" s="8">
        <v>3.87653957505275</v>
      </c>
      <c r="D6" s="7">
        <f t="shared" si="1"/>
        <v>58283.77251</v>
      </c>
      <c r="E6" s="7">
        <f t="shared" si="5"/>
        <v>160317.9882</v>
      </c>
      <c r="F6" s="9">
        <v>0.1830357787830565</v>
      </c>
      <c r="G6" s="10">
        <f t="shared" si="2"/>
        <v>29343.92782</v>
      </c>
      <c r="H6" s="6">
        <v>0.29</v>
      </c>
      <c r="I6" s="7">
        <f t="shared" si="3"/>
        <v>8509.739067</v>
      </c>
      <c r="J6" s="11"/>
      <c r="K6" s="5"/>
      <c r="L6" s="5"/>
      <c r="M6" s="5"/>
      <c r="N6" s="5"/>
      <c r="O6" s="5"/>
      <c r="P6" s="5"/>
      <c r="Q6" s="5"/>
    </row>
    <row r="7">
      <c r="A7" s="6">
        <f t="shared" si="4"/>
        <v>5</v>
      </c>
      <c r="B7" s="7">
        <v>11701.0</v>
      </c>
      <c r="C7" s="8">
        <v>3.487552841709723</v>
      </c>
      <c r="D7" s="7">
        <f t="shared" si="1"/>
        <v>40807.8558</v>
      </c>
      <c r="E7" s="7">
        <f t="shared" si="5"/>
        <v>201125.844</v>
      </c>
      <c r="F7" s="9">
        <v>0.1830357787830565</v>
      </c>
      <c r="G7" s="10">
        <f t="shared" si="2"/>
        <v>36813.22548</v>
      </c>
      <c r="H7" s="6">
        <v>0.29</v>
      </c>
      <c r="I7" s="7">
        <f t="shared" si="3"/>
        <v>10675.83539</v>
      </c>
      <c r="J7" s="11"/>
      <c r="K7" s="5"/>
      <c r="L7" s="5"/>
      <c r="M7" s="5"/>
      <c r="N7" s="5"/>
      <c r="O7" s="5"/>
      <c r="P7" s="5"/>
      <c r="Q7" s="5"/>
    </row>
    <row r="8">
      <c r="A8" s="6">
        <f t="shared" si="4"/>
        <v>6</v>
      </c>
      <c r="B8" s="7">
        <v>12114.0</v>
      </c>
      <c r="C8" s="8">
        <v>5.080382172893186</v>
      </c>
      <c r="D8" s="7">
        <f t="shared" si="1"/>
        <v>61543.74964</v>
      </c>
      <c r="E8" s="7">
        <f t="shared" si="5"/>
        <v>262669.5936</v>
      </c>
      <c r="F8" s="9">
        <v>0.1830357787830565</v>
      </c>
      <c r="G8" s="10">
        <f t="shared" si="2"/>
        <v>48077.93363</v>
      </c>
      <c r="H8" s="6">
        <v>0.29</v>
      </c>
      <c r="I8" s="7">
        <f t="shared" si="3"/>
        <v>13942.60075</v>
      </c>
      <c r="J8" s="11"/>
      <c r="K8" s="5"/>
      <c r="L8" s="5"/>
      <c r="M8" s="5"/>
      <c r="N8" s="5"/>
      <c r="O8" s="5"/>
      <c r="P8" s="5"/>
      <c r="Q8" s="5"/>
    </row>
    <row r="9">
      <c r="A9" s="6">
        <f t="shared" si="4"/>
        <v>7</v>
      </c>
      <c r="B9" s="7">
        <v>9681.0</v>
      </c>
      <c r="C9" s="8">
        <v>4.64373627835806</v>
      </c>
      <c r="D9" s="7">
        <f t="shared" si="1"/>
        <v>44956.01091</v>
      </c>
      <c r="E9" s="7">
        <f t="shared" si="5"/>
        <v>307625.6045</v>
      </c>
      <c r="F9" s="9">
        <v>0.1830357787830565</v>
      </c>
      <c r="G9" s="10">
        <f t="shared" si="2"/>
        <v>56306.4921</v>
      </c>
      <c r="H9" s="6">
        <v>0.29</v>
      </c>
      <c r="I9" s="7">
        <f t="shared" si="3"/>
        <v>16328.88271</v>
      </c>
      <c r="J9" s="11"/>
      <c r="K9" s="5"/>
      <c r="L9" s="5"/>
      <c r="M9" s="5"/>
      <c r="N9" s="5"/>
      <c r="O9" s="5"/>
      <c r="P9" s="5"/>
      <c r="Q9" s="5"/>
    </row>
    <row r="10">
      <c r="A10" s="6">
        <f t="shared" si="4"/>
        <v>8</v>
      </c>
      <c r="B10" s="7">
        <v>13315.0</v>
      </c>
      <c r="C10" s="8">
        <v>3.660375396454011</v>
      </c>
      <c r="D10" s="7">
        <f t="shared" si="1"/>
        <v>48737.8984</v>
      </c>
      <c r="E10" s="7">
        <f t="shared" si="5"/>
        <v>356363.5029</v>
      </c>
      <c r="F10" s="9">
        <v>0.1830357787830565</v>
      </c>
      <c r="G10" s="10">
        <f t="shared" si="2"/>
        <v>65227.27129</v>
      </c>
      <c r="H10" s="6">
        <v>0.29</v>
      </c>
      <c r="I10" s="7">
        <f t="shared" si="3"/>
        <v>18915.90867</v>
      </c>
      <c r="J10" s="11"/>
      <c r="K10" s="5"/>
      <c r="L10" s="5"/>
      <c r="M10" s="5"/>
      <c r="N10" s="5"/>
      <c r="O10" s="5"/>
      <c r="P10" s="5"/>
      <c r="Q10" s="5"/>
    </row>
    <row r="11">
      <c r="A11" s="6">
        <f t="shared" si="4"/>
        <v>9</v>
      </c>
      <c r="B11" s="10">
        <v>12798.0</v>
      </c>
      <c r="C11" s="8">
        <v>5.160882616251515</v>
      </c>
      <c r="D11" s="7">
        <f t="shared" si="1"/>
        <v>66048.97572</v>
      </c>
      <c r="E11" s="7">
        <f t="shared" si="5"/>
        <v>422412.4787</v>
      </c>
      <c r="F11" s="9">
        <v>0.1830357787830565</v>
      </c>
      <c r="G11" s="10">
        <f t="shared" si="2"/>
        <v>77316.597</v>
      </c>
      <c r="H11" s="6">
        <v>0.29</v>
      </c>
      <c r="I11" s="7">
        <f t="shared" si="3"/>
        <v>22421.81313</v>
      </c>
      <c r="J11" s="5"/>
      <c r="K11" s="5"/>
      <c r="L11" s="5"/>
      <c r="M11" s="5"/>
      <c r="N11" s="5"/>
      <c r="O11" s="5"/>
      <c r="P11" s="5"/>
      <c r="Q11" s="5"/>
    </row>
    <row r="12">
      <c r="A12" s="6">
        <f t="shared" si="4"/>
        <v>10</v>
      </c>
      <c r="B12" s="10">
        <v>14635.0</v>
      </c>
      <c r="C12" s="8">
        <v>5.663677130044843</v>
      </c>
      <c r="D12" s="7">
        <f t="shared" si="1"/>
        <v>82887.9148</v>
      </c>
      <c r="E12" s="7">
        <f t="shared" si="5"/>
        <v>505300.3935</v>
      </c>
      <c r="F12" s="9">
        <v>0.1830357787830565</v>
      </c>
      <c r="G12" s="10">
        <f t="shared" si="2"/>
        <v>92488.05103</v>
      </c>
      <c r="H12" s="6">
        <v>0.29</v>
      </c>
      <c r="I12" s="7">
        <f t="shared" si="3"/>
        <v>26821.5348</v>
      </c>
      <c r="J12" s="5"/>
      <c r="K12" s="5"/>
      <c r="L12" s="5"/>
      <c r="M12" s="5"/>
      <c r="N12" s="5"/>
      <c r="O12" s="5"/>
      <c r="P12" s="5"/>
      <c r="Q12" s="5"/>
    </row>
    <row r="13">
      <c r="A13" s="6">
        <f t="shared" si="4"/>
        <v>11</v>
      </c>
      <c r="B13" s="10">
        <v>11226.0</v>
      </c>
      <c r="C13" s="8">
        <v>5.426134737565108</v>
      </c>
      <c r="D13" s="7">
        <f t="shared" si="1"/>
        <v>60913.78856</v>
      </c>
      <c r="E13" s="7">
        <f t="shared" si="5"/>
        <v>566214.182</v>
      </c>
      <c r="F13" s="9">
        <v>0.1830357787830565</v>
      </c>
      <c r="G13" s="10">
        <f t="shared" si="2"/>
        <v>103637.4538</v>
      </c>
      <c r="H13" s="6">
        <v>0.29</v>
      </c>
      <c r="I13" s="7">
        <f t="shared" si="3"/>
        <v>30054.86159</v>
      </c>
      <c r="J13" s="5"/>
      <c r="K13" s="5"/>
      <c r="L13" s="5"/>
      <c r="M13" s="5"/>
      <c r="N13" s="5"/>
      <c r="O13" s="5"/>
      <c r="P13" s="5"/>
      <c r="Q13" s="5"/>
    </row>
    <row r="14">
      <c r="A14" s="6">
        <f t="shared" si="4"/>
        <v>12</v>
      </c>
      <c r="B14" s="10">
        <v>14833.0</v>
      </c>
      <c r="C14" s="8">
        <v>4.57536963577353</v>
      </c>
      <c r="D14" s="7">
        <f t="shared" si="1"/>
        <v>67866.45781</v>
      </c>
      <c r="E14" s="7">
        <f t="shared" si="5"/>
        <v>634080.6398</v>
      </c>
      <c r="F14" s="9">
        <v>0.1830357787830565</v>
      </c>
      <c r="G14" s="10">
        <f t="shared" si="2"/>
        <v>116059.4437</v>
      </c>
      <c r="H14" s="6">
        <v>0.29</v>
      </c>
      <c r="I14" s="7">
        <f t="shared" si="3"/>
        <v>33657.23868</v>
      </c>
      <c r="J14" s="5"/>
      <c r="K14" s="5"/>
      <c r="L14" s="5"/>
      <c r="M14" s="5"/>
      <c r="N14" s="5"/>
      <c r="O14" s="5"/>
      <c r="P14" s="5"/>
      <c r="Q14" s="5"/>
    </row>
    <row r="15">
      <c r="A15" s="6">
        <f t="shared" si="4"/>
        <v>13</v>
      </c>
      <c r="B15" s="10">
        <v>14490.0</v>
      </c>
      <c r="C15" s="8">
        <v>5.371810075987175</v>
      </c>
      <c r="D15" s="7">
        <f t="shared" si="1"/>
        <v>77837.528</v>
      </c>
      <c r="E15" s="7">
        <f t="shared" si="5"/>
        <v>711918.1678</v>
      </c>
      <c r="F15" s="9">
        <v>0.1830357787830565</v>
      </c>
      <c r="G15" s="10">
        <f t="shared" si="2"/>
        <v>130306.4963</v>
      </c>
      <c r="H15" s="6">
        <v>0.29</v>
      </c>
      <c r="I15" s="7">
        <f t="shared" si="3"/>
        <v>37788.88392</v>
      </c>
      <c r="J15" s="5"/>
      <c r="K15" s="5"/>
      <c r="L15" s="5"/>
      <c r="M15" s="5"/>
      <c r="N15" s="5"/>
      <c r="O15" s="5"/>
      <c r="P15" s="5"/>
      <c r="Q15" s="5"/>
    </row>
    <row r="16">
      <c r="A16" s="6">
        <f t="shared" si="4"/>
        <v>14</v>
      </c>
      <c r="B16" s="10">
        <v>14118.0</v>
      </c>
      <c r="C16" s="8">
        <v>5.176221588294838</v>
      </c>
      <c r="D16" s="7">
        <f t="shared" si="1"/>
        <v>73077.89638</v>
      </c>
      <c r="E16" s="7">
        <f t="shared" si="5"/>
        <v>784996.0642</v>
      </c>
      <c r="F16" s="9">
        <v>0.1830357787830565</v>
      </c>
      <c r="G16" s="10">
        <f t="shared" si="2"/>
        <v>143682.366</v>
      </c>
      <c r="H16" s="6">
        <v>0.29</v>
      </c>
      <c r="I16" s="7">
        <f t="shared" si="3"/>
        <v>41667.88613</v>
      </c>
      <c r="J16" s="5"/>
      <c r="K16" s="5"/>
      <c r="L16" s="5"/>
      <c r="M16" s="5"/>
      <c r="N16" s="5"/>
      <c r="O16" s="5"/>
      <c r="P16" s="5"/>
      <c r="Q16" s="5"/>
    </row>
    <row r="17">
      <c r="A17" s="6">
        <f t="shared" si="4"/>
        <v>15</v>
      </c>
      <c r="B17" s="10">
        <v>12177.0</v>
      </c>
      <c r="C17" s="8">
        <v>5.819043205108399</v>
      </c>
      <c r="D17" s="7">
        <f t="shared" si="1"/>
        <v>70858.48911</v>
      </c>
      <c r="E17" s="7">
        <f t="shared" si="5"/>
        <v>855854.5533</v>
      </c>
      <c r="F17" s="9">
        <v>0.1830357787830565</v>
      </c>
      <c r="G17" s="10">
        <f t="shared" si="2"/>
        <v>156652.0047</v>
      </c>
      <c r="H17" s="6">
        <v>0.29</v>
      </c>
      <c r="I17" s="7">
        <f t="shared" si="3"/>
        <v>45429.08136</v>
      </c>
      <c r="J17" s="5"/>
      <c r="K17" s="5"/>
      <c r="L17" s="5"/>
      <c r="M17" s="5"/>
      <c r="N17" s="5"/>
      <c r="O17" s="5"/>
      <c r="P17" s="5"/>
      <c r="Q17" s="5"/>
    </row>
    <row r="18">
      <c r="A18" s="6">
        <f t="shared" si="4"/>
        <v>16</v>
      </c>
      <c r="B18" s="10">
        <v>11108.0</v>
      </c>
      <c r="C18" s="8">
        <v>7.361401673640168</v>
      </c>
      <c r="D18" s="7">
        <f t="shared" si="1"/>
        <v>81770.44979</v>
      </c>
      <c r="E18" s="7">
        <f t="shared" si="5"/>
        <v>937625.0031</v>
      </c>
      <c r="F18" s="9">
        <v>0.1830357787830565</v>
      </c>
      <c r="G18" s="10">
        <f t="shared" si="2"/>
        <v>171618.9226</v>
      </c>
      <c r="H18" s="6">
        <v>0.29</v>
      </c>
      <c r="I18" s="7">
        <f t="shared" si="3"/>
        <v>49769.48757</v>
      </c>
      <c r="J18" s="5"/>
      <c r="K18" s="5"/>
      <c r="L18" s="5"/>
      <c r="M18" s="5"/>
      <c r="N18" s="5"/>
      <c r="O18" s="5"/>
      <c r="P18" s="5"/>
      <c r="Q18" s="5"/>
    </row>
    <row r="19">
      <c r="A19" s="6">
        <f t="shared" si="4"/>
        <v>17</v>
      </c>
      <c r="B19" s="10">
        <v>13316.0</v>
      </c>
      <c r="C19" s="8">
        <v>9.62182603997839</v>
      </c>
      <c r="D19" s="7">
        <f t="shared" si="1"/>
        <v>128124.2355</v>
      </c>
      <c r="E19" s="7">
        <f t="shared" si="5"/>
        <v>1065749.239</v>
      </c>
      <c r="F19" s="9">
        <v>0.1830357787830565</v>
      </c>
      <c r="G19" s="10">
        <f t="shared" si="2"/>
        <v>195070.2419</v>
      </c>
      <c r="H19" s="6">
        <v>0.29</v>
      </c>
      <c r="I19" s="7">
        <f t="shared" si="3"/>
        <v>56570.37015</v>
      </c>
      <c r="J19" s="5"/>
      <c r="K19" s="5"/>
      <c r="L19" s="5"/>
      <c r="M19" s="5"/>
      <c r="N19" s="5"/>
      <c r="O19" s="5"/>
      <c r="P19" s="5"/>
      <c r="Q19" s="5"/>
    </row>
    <row r="20">
      <c r="A20" s="6">
        <f t="shared" si="4"/>
        <v>18</v>
      </c>
      <c r="B20" s="10">
        <v>16198.0</v>
      </c>
      <c r="C20" s="8">
        <v>8.601106278765359</v>
      </c>
      <c r="D20" s="7">
        <f t="shared" si="1"/>
        <v>139320.7195</v>
      </c>
      <c r="E20" s="7">
        <f t="shared" si="5"/>
        <v>1205069.958</v>
      </c>
      <c r="F20" s="9">
        <v>0.1830357787830565</v>
      </c>
      <c r="G20" s="10">
        <f t="shared" si="2"/>
        <v>220570.9183</v>
      </c>
      <c r="H20" s="6">
        <v>0.29</v>
      </c>
      <c r="I20" s="7">
        <f t="shared" si="3"/>
        <v>63965.5663</v>
      </c>
      <c r="J20" s="5"/>
      <c r="K20" s="5"/>
      <c r="L20" s="5"/>
      <c r="M20" s="5"/>
      <c r="N20" s="5"/>
      <c r="O20" s="5"/>
      <c r="P20" s="5"/>
      <c r="Q20" s="5"/>
    </row>
    <row r="21">
      <c r="A21" s="6">
        <f t="shared" si="4"/>
        <v>19</v>
      </c>
      <c r="B21" s="10">
        <v>14286.0</v>
      </c>
      <c r="C21" s="8">
        <v>8.344640434192673</v>
      </c>
      <c r="D21" s="7">
        <f t="shared" si="1"/>
        <v>119211.5332</v>
      </c>
      <c r="E21" s="7">
        <f t="shared" si="5"/>
        <v>1324281.491</v>
      </c>
      <c r="F21" s="9">
        <v>0.1830357787830565</v>
      </c>
      <c r="G21" s="10">
        <f t="shared" si="2"/>
        <v>242390.8941</v>
      </c>
      <c r="H21" s="6">
        <v>0.29</v>
      </c>
      <c r="I21" s="7">
        <f t="shared" si="3"/>
        <v>70293.35929</v>
      </c>
      <c r="J21" s="5"/>
      <c r="K21" s="5"/>
      <c r="L21" s="5"/>
      <c r="M21" s="5"/>
      <c r="N21" s="5"/>
      <c r="O21" s="5"/>
      <c r="P21" s="5"/>
      <c r="Q21" s="5"/>
    </row>
    <row r="22">
      <c r="A22" s="6">
        <f t="shared" si="4"/>
        <v>20</v>
      </c>
      <c r="B22" s="10">
        <v>21096.0</v>
      </c>
      <c r="C22" s="8">
        <v>6.810402625357281</v>
      </c>
      <c r="D22" s="7">
        <f t="shared" si="1"/>
        <v>143672.2538</v>
      </c>
      <c r="E22" s="7">
        <f t="shared" si="5"/>
        <v>1467953.745</v>
      </c>
      <c r="F22" s="9">
        <v>0.1830357787830565</v>
      </c>
      <c r="G22" s="10">
        <f t="shared" si="2"/>
        <v>268688.057</v>
      </c>
      <c r="H22" s="6">
        <v>0.29</v>
      </c>
      <c r="I22" s="7">
        <f t="shared" si="3"/>
        <v>77919.53652</v>
      </c>
      <c r="J22" s="5"/>
      <c r="K22" s="5"/>
      <c r="L22" s="5"/>
      <c r="M22" s="5"/>
      <c r="N22" s="5"/>
      <c r="O22" s="5"/>
      <c r="P22" s="5"/>
      <c r="Q22" s="5"/>
    </row>
    <row r="23">
      <c r="A23" s="6">
        <f t="shared" si="4"/>
        <v>21</v>
      </c>
      <c r="B23" s="10">
        <v>21161.0</v>
      </c>
      <c r="C23" s="8">
        <v>6.919619155487913</v>
      </c>
      <c r="D23" s="7">
        <f t="shared" si="1"/>
        <v>146426.0609</v>
      </c>
      <c r="E23" s="7">
        <f t="shared" si="5"/>
        <v>1614379.806</v>
      </c>
      <c r="F23" s="9">
        <v>0.1830357787830565</v>
      </c>
      <c r="G23" s="10">
        <f t="shared" si="2"/>
        <v>295489.2651</v>
      </c>
      <c r="H23" s="6">
        <v>0.29</v>
      </c>
      <c r="I23" s="7">
        <f t="shared" si="3"/>
        <v>85691.88687</v>
      </c>
      <c r="J23" s="5"/>
      <c r="K23" s="5"/>
      <c r="L23" s="5"/>
      <c r="M23" s="5"/>
      <c r="N23" s="5"/>
      <c r="O23" s="5"/>
      <c r="P23" s="5"/>
      <c r="Q23" s="5"/>
    </row>
    <row r="24">
      <c r="A24" s="6">
        <f t="shared" si="4"/>
        <v>22</v>
      </c>
      <c r="B24" s="10">
        <v>23565.0</v>
      </c>
      <c r="C24" s="8">
        <v>9.964826330004396</v>
      </c>
      <c r="D24" s="7">
        <f t="shared" si="1"/>
        <v>234821.1325</v>
      </c>
      <c r="E24" s="7">
        <f t="shared" si="5"/>
        <v>1849200.939</v>
      </c>
      <c r="F24" s="9">
        <v>0.1830357787830565</v>
      </c>
      <c r="G24" s="10">
        <f t="shared" si="2"/>
        <v>338469.9339</v>
      </c>
      <c r="H24" s="6">
        <v>0.29</v>
      </c>
      <c r="I24" s="7">
        <f t="shared" si="3"/>
        <v>98156.28084</v>
      </c>
      <c r="J24" s="5"/>
      <c r="K24" s="5"/>
      <c r="L24" s="5"/>
      <c r="M24" s="5"/>
      <c r="N24" s="5"/>
      <c r="O24" s="5"/>
      <c r="P24" s="5"/>
      <c r="Q24" s="5"/>
    </row>
    <row r="25">
      <c r="A25" s="6">
        <f t="shared" si="4"/>
        <v>23</v>
      </c>
      <c r="B25" s="10">
        <v>16610.0</v>
      </c>
      <c r="C25" s="8">
        <v>15.60734463276836</v>
      </c>
      <c r="D25" s="7">
        <f t="shared" si="1"/>
        <v>259237.9944</v>
      </c>
      <c r="E25" s="7">
        <f t="shared" si="5"/>
        <v>2108438.933</v>
      </c>
      <c r="F25" s="9">
        <v>0.1830357787830565</v>
      </c>
      <c r="G25" s="10">
        <f t="shared" si="2"/>
        <v>385919.7621</v>
      </c>
      <c r="H25" s="6">
        <v>0.29</v>
      </c>
      <c r="I25" s="7">
        <f t="shared" si="3"/>
        <v>111916.731</v>
      </c>
      <c r="J25" s="5"/>
      <c r="K25" s="5"/>
      <c r="L25" s="5"/>
      <c r="M25" s="5"/>
      <c r="N25" s="5"/>
      <c r="O25" s="5"/>
      <c r="P25" s="5"/>
      <c r="Q25" s="5"/>
    </row>
    <row r="26">
      <c r="A26" s="6">
        <f t="shared" si="4"/>
        <v>24</v>
      </c>
      <c r="B26" s="10">
        <v>22332.0</v>
      </c>
      <c r="C26" s="8">
        <v>24.319356293136337</v>
      </c>
      <c r="D26" s="7">
        <f t="shared" si="1"/>
        <v>543099.8647</v>
      </c>
      <c r="E26" s="7">
        <f t="shared" si="5"/>
        <v>2651538.798</v>
      </c>
      <c r="F26" s="9">
        <v>0.1830357787830565</v>
      </c>
      <c r="G26" s="10">
        <f t="shared" si="2"/>
        <v>485326.4688</v>
      </c>
      <c r="H26" s="6">
        <v>0.29</v>
      </c>
      <c r="I26" s="7">
        <f t="shared" si="3"/>
        <v>140744.676</v>
      </c>
      <c r="J26" s="5"/>
      <c r="K26" s="5"/>
      <c r="L26" s="5"/>
      <c r="M26" s="5"/>
      <c r="N26" s="5"/>
      <c r="O26" s="5"/>
      <c r="P26" s="5"/>
      <c r="Q26" s="5"/>
    </row>
    <row r="27">
      <c r="A27" s="6">
        <v>25.0</v>
      </c>
      <c r="B27" s="7">
        <v>20109.0</v>
      </c>
      <c r="C27" s="8">
        <v>30.204021289178</v>
      </c>
      <c r="D27" s="7">
        <f t="shared" si="1"/>
        <v>607372.6641</v>
      </c>
      <c r="E27" s="7">
        <f t="shared" si="5"/>
        <v>3258911.462</v>
      </c>
      <c r="F27" s="9">
        <v>0.1830357787830565</v>
      </c>
      <c r="G27" s="10">
        <f t="shared" si="2"/>
        <v>596497.3974</v>
      </c>
      <c r="H27" s="6">
        <v>0.29</v>
      </c>
      <c r="I27" s="7">
        <f t="shared" si="3"/>
        <v>172984.2452</v>
      </c>
      <c r="J27" s="5"/>
      <c r="K27" s="5"/>
      <c r="L27" s="5"/>
      <c r="M27" s="5"/>
      <c r="N27" s="5"/>
      <c r="O27" s="5"/>
      <c r="P27" s="5"/>
      <c r="Q27" s="5"/>
    </row>
    <row r="28">
      <c r="A28" s="5"/>
      <c r="B28" s="5"/>
      <c r="C28" s="5"/>
      <c r="D28" s="5"/>
      <c r="E28" s="5"/>
      <c r="F28" s="5"/>
      <c r="G28" s="12"/>
      <c r="H28" s="5"/>
      <c r="I28" s="12"/>
      <c r="J28" s="5"/>
      <c r="K28" s="5"/>
      <c r="L28" s="5"/>
      <c r="M28" s="5"/>
      <c r="N28" s="5"/>
      <c r="O28" s="5"/>
      <c r="P28" s="5"/>
      <c r="Q28" s="5"/>
    </row>
    <row r="29">
      <c r="A29" s="5"/>
      <c r="B29" s="5"/>
      <c r="C29" s="5"/>
      <c r="D29" s="5"/>
      <c r="E29" s="5"/>
      <c r="F29" s="5"/>
      <c r="G29" s="12"/>
      <c r="H29" s="5"/>
      <c r="I29" s="12"/>
      <c r="J29" s="5"/>
      <c r="K29" s="5"/>
      <c r="L29" s="5"/>
      <c r="M29" s="5"/>
      <c r="N29" s="5"/>
      <c r="O29" s="5"/>
      <c r="P29" s="5"/>
      <c r="Q29" s="5"/>
    </row>
    <row r="30">
      <c r="A30" s="5"/>
      <c r="B30" s="5"/>
      <c r="C30" s="5"/>
      <c r="D30" s="5"/>
      <c r="E30" s="5"/>
      <c r="F30" s="5"/>
      <c r="G30" s="12"/>
      <c r="H30" s="5"/>
      <c r="I30" s="12"/>
      <c r="J30" s="5"/>
      <c r="K30" s="5"/>
      <c r="L30" s="5"/>
      <c r="M30" s="5"/>
      <c r="N30" s="5"/>
      <c r="O30" s="5"/>
      <c r="P30" s="5"/>
      <c r="Q3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5" max="5" width="14.88"/>
    <col customWidth="1" min="6" max="7" width="15.5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4" t="s">
        <v>8</v>
      </c>
      <c r="J1" s="13"/>
      <c r="K1" s="13"/>
    </row>
    <row r="2">
      <c r="A2" s="15">
        <v>0.0</v>
      </c>
      <c r="B2" s="16">
        <v>12401.0</v>
      </c>
      <c r="C2" s="8">
        <v>1.81360201511335</v>
      </c>
      <c r="D2" s="17">
        <f t="shared" ref="D2:D27" si="1">B2*$C2</f>
        <v>22490.47859</v>
      </c>
      <c r="E2" s="17">
        <f>D2</f>
        <v>22490.47859</v>
      </c>
      <c r="F2" s="18">
        <v>0.01</v>
      </c>
      <c r="G2" s="19">
        <f t="shared" ref="G2:G27" si="2">E2*F2</f>
        <v>224.9047859</v>
      </c>
      <c r="H2" s="15">
        <v>0.29</v>
      </c>
      <c r="I2" s="17">
        <f t="shared" ref="I2:I27" si="3">G2*H2</f>
        <v>65.22238791</v>
      </c>
      <c r="J2" s="20"/>
      <c r="R2" s="21"/>
    </row>
    <row r="3">
      <c r="A3" s="15">
        <f t="shared" ref="A3:A26" si="4">A2+1</f>
        <v>1</v>
      </c>
      <c r="B3" s="16">
        <v>7938.0</v>
      </c>
      <c r="C3" s="8">
        <v>2.2393145750170382</v>
      </c>
      <c r="D3" s="17">
        <f t="shared" si="1"/>
        <v>17775.6791</v>
      </c>
      <c r="E3" s="17">
        <f t="shared" ref="E3:E27" si="5">D3+E2</f>
        <v>40266.15769</v>
      </c>
      <c r="F3" s="18">
        <v>0.01</v>
      </c>
      <c r="G3" s="19">
        <f t="shared" si="2"/>
        <v>402.6615769</v>
      </c>
      <c r="H3" s="15">
        <v>0.29</v>
      </c>
      <c r="I3" s="17">
        <f t="shared" si="3"/>
        <v>116.7718573</v>
      </c>
      <c r="J3" s="20"/>
    </row>
    <row r="4">
      <c r="A4" s="15">
        <f t="shared" si="4"/>
        <v>2</v>
      </c>
      <c r="B4" s="16">
        <v>11419.0</v>
      </c>
      <c r="C4" s="8">
        <v>2.824240864642306</v>
      </c>
      <c r="D4" s="17">
        <f t="shared" si="1"/>
        <v>32250.00643</v>
      </c>
      <c r="E4" s="17">
        <f t="shared" si="5"/>
        <v>72516.16412</v>
      </c>
      <c r="F4" s="18">
        <v>0.01</v>
      </c>
      <c r="G4" s="19">
        <f t="shared" si="2"/>
        <v>725.1616412</v>
      </c>
      <c r="H4" s="15">
        <v>0.29</v>
      </c>
      <c r="I4" s="17">
        <f t="shared" si="3"/>
        <v>210.2968759</v>
      </c>
      <c r="J4" s="20"/>
    </row>
    <row r="5">
      <c r="A5" s="15">
        <f t="shared" si="4"/>
        <v>3</v>
      </c>
      <c r="B5" s="16">
        <v>12538.0</v>
      </c>
      <c r="C5" s="8">
        <v>2.354287090558767</v>
      </c>
      <c r="D5" s="17">
        <f t="shared" si="1"/>
        <v>29518.05154</v>
      </c>
      <c r="E5" s="17">
        <f t="shared" si="5"/>
        <v>102034.2157</v>
      </c>
      <c r="F5" s="18">
        <v>0.01</v>
      </c>
      <c r="G5" s="19">
        <f t="shared" si="2"/>
        <v>1020.342157</v>
      </c>
      <c r="H5" s="15">
        <v>0.29</v>
      </c>
      <c r="I5" s="17">
        <f t="shared" si="3"/>
        <v>295.8992254</v>
      </c>
      <c r="J5" s="20"/>
    </row>
    <row r="6">
      <c r="A6" s="15">
        <f t="shared" si="4"/>
        <v>4</v>
      </c>
      <c r="B6" s="16">
        <v>15035.0</v>
      </c>
      <c r="C6" s="8">
        <v>3.87653957505275</v>
      </c>
      <c r="D6" s="17">
        <f t="shared" si="1"/>
        <v>58283.77251</v>
      </c>
      <c r="E6" s="17">
        <f t="shared" si="5"/>
        <v>160317.9882</v>
      </c>
      <c r="F6" s="18">
        <v>0.01</v>
      </c>
      <c r="G6" s="19">
        <f t="shared" si="2"/>
        <v>1603.179882</v>
      </c>
      <c r="H6" s="15">
        <v>0.29</v>
      </c>
      <c r="I6" s="17">
        <f t="shared" si="3"/>
        <v>464.9221657</v>
      </c>
      <c r="J6" s="20"/>
    </row>
    <row r="7">
      <c r="A7" s="15">
        <f t="shared" si="4"/>
        <v>5</v>
      </c>
      <c r="B7" s="16">
        <v>11701.0</v>
      </c>
      <c r="C7" s="8">
        <v>3.487552841709723</v>
      </c>
      <c r="D7" s="17">
        <f t="shared" si="1"/>
        <v>40807.8558</v>
      </c>
      <c r="E7" s="17">
        <f t="shared" si="5"/>
        <v>201125.844</v>
      </c>
      <c r="F7" s="18">
        <v>0.01</v>
      </c>
      <c r="G7" s="19">
        <f t="shared" si="2"/>
        <v>2011.25844</v>
      </c>
      <c r="H7" s="15">
        <v>0.29</v>
      </c>
      <c r="I7" s="17">
        <f t="shared" si="3"/>
        <v>583.2649475</v>
      </c>
      <c r="J7" s="20"/>
      <c r="R7" s="21"/>
    </row>
    <row r="8">
      <c r="A8" s="15">
        <f t="shared" si="4"/>
        <v>6</v>
      </c>
      <c r="B8" s="16">
        <v>12114.0</v>
      </c>
      <c r="C8" s="8">
        <v>5.080382172893186</v>
      </c>
      <c r="D8" s="17">
        <f t="shared" si="1"/>
        <v>61543.74964</v>
      </c>
      <c r="E8" s="17">
        <f t="shared" si="5"/>
        <v>262669.5936</v>
      </c>
      <c r="F8" s="18">
        <v>0.01</v>
      </c>
      <c r="G8" s="19">
        <f t="shared" si="2"/>
        <v>2626.695936</v>
      </c>
      <c r="H8" s="15">
        <v>0.29</v>
      </c>
      <c r="I8" s="17">
        <f t="shared" si="3"/>
        <v>761.7418215</v>
      </c>
      <c r="J8" s="20"/>
    </row>
    <row r="9">
      <c r="A9" s="15">
        <f t="shared" si="4"/>
        <v>7</v>
      </c>
      <c r="B9" s="16">
        <v>9681.0</v>
      </c>
      <c r="C9" s="8">
        <v>4.64373627835806</v>
      </c>
      <c r="D9" s="17">
        <f t="shared" si="1"/>
        <v>44956.01091</v>
      </c>
      <c r="E9" s="17">
        <f t="shared" si="5"/>
        <v>307625.6045</v>
      </c>
      <c r="F9" s="18">
        <v>0.01</v>
      </c>
      <c r="G9" s="19">
        <f t="shared" si="2"/>
        <v>3076.256045</v>
      </c>
      <c r="H9" s="15">
        <v>0.29</v>
      </c>
      <c r="I9" s="17">
        <f t="shared" si="3"/>
        <v>892.1142531</v>
      </c>
      <c r="J9" s="20"/>
    </row>
    <row r="10">
      <c r="A10" s="15">
        <f t="shared" si="4"/>
        <v>8</v>
      </c>
      <c r="B10" s="16">
        <v>13315.0</v>
      </c>
      <c r="C10" s="8">
        <v>3.660375396454011</v>
      </c>
      <c r="D10" s="17">
        <f t="shared" si="1"/>
        <v>48737.8984</v>
      </c>
      <c r="E10" s="17">
        <f t="shared" si="5"/>
        <v>356363.5029</v>
      </c>
      <c r="F10" s="18">
        <v>0.025</v>
      </c>
      <c r="G10" s="19">
        <f t="shared" si="2"/>
        <v>8909.087573</v>
      </c>
      <c r="H10" s="15">
        <v>0.29</v>
      </c>
      <c r="I10" s="17">
        <f t="shared" si="3"/>
        <v>2583.635396</v>
      </c>
      <c r="J10" s="20"/>
    </row>
    <row r="11">
      <c r="A11" s="15">
        <f t="shared" si="4"/>
        <v>9</v>
      </c>
      <c r="B11" s="19">
        <v>12798.0</v>
      </c>
      <c r="C11" s="8">
        <v>5.160882616251515</v>
      </c>
      <c r="D11" s="17">
        <f t="shared" si="1"/>
        <v>66048.97572</v>
      </c>
      <c r="E11" s="17">
        <f t="shared" si="5"/>
        <v>422412.4787</v>
      </c>
      <c r="F11" s="18">
        <v>0.025</v>
      </c>
      <c r="G11" s="19">
        <f t="shared" si="2"/>
        <v>10560.31197</v>
      </c>
      <c r="H11" s="15">
        <v>0.29</v>
      </c>
      <c r="I11" s="17">
        <f t="shared" si="3"/>
        <v>3062.49047</v>
      </c>
    </row>
    <row r="12">
      <c r="A12" s="15">
        <f t="shared" si="4"/>
        <v>10</v>
      </c>
      <c r="B12" s="19">
        <v>14635.0</v>
      </c>
      <c r="C12" s="8">
        <v>5.663677130044843</v>
      </c>
      <c r="D12" s="17">
        <f t="shared" si="1"/>
        <v>82887.9148</v>
      </c>
      <c r="E12" s="17">
        <f t="shared" si="5"/>
        <v>505300.3935</v>
      </c>
      <c r="F12" s="18">
        <v>0.025</v>
      </c>
      <c r="G12" s="19">
        <f t="shared" si="2"/>
        <v>12632.50984</v>
      </c>
      <c r="H12" s="15">
        <v>0.29</v>
      </c>
      <c r="I12" s="17">
        <f t="shared" si="3"/>
        <v>3663.427853</v>
      </c>
      <c r="R12" s="21"/>
    </row>
    <row r="13">
      <c r="A13" s="15">
        <f t="shared" si="4"/>
        <v>11</v>
      </c>
      <c r="B13" s="19">
        <v>11226.0</v>
      </c>
      <c r="C13" s="8">
        <v>5.426134737565108</v>
      </c>
      <c r="D13" s="17">
        <f t="shared" si="1"/>
        <v>60913.78856</v>
      </c>
      <c r="E13" s="17">
        <f t="shared" si="5"/>
        <v>566214.182</v>
      </c>
      <c r="F13" s="18">
        <v>0.025</v>
      </c>
      <c r="G13" s="19">
        <f t="shared" si="2"/>
        <v>14155.35455</v>
      </c>
      <c r="H13" s="15">
        <v>0.29</v>
      </c>
      <c r="I13" s="17">
        <f t="shared" si="3"/>
        <v>4105.05282</v>
      </c>
    </row>
    <row r="14">
      <c r="A14" s="15">
        <f t="shared" si="4"/>
        <v>12</v>
      </c>
      <c r="B14" s="19">
        <v>14833.0</v>
      </c>
      <c r="C14" s="8">
        <v>4.57536963577353</v>
      </c>
      <c r="D14" s="17">
        <f t="shared" si="1"/>
        <v>67866.45781</v>
      </c>
      <c r="E14" s="17">
        <f t="shared" si="5"/>
        <v>634080.6398</v>
      </c>
      <c r="F14" s="18">
        <v>0.038</v>
      </c>
      <c r="G14" s="19">
        <f t="shared" si="2"/>
        <v>24095.06431</v>
      </c>
      <c r="H14" s="15">
        <v>0.29</v>
      </c>
      <c r="I14" s="17">
        <f t="shared" si="3"/>
        <v>6987.568651</v>
      </c>
    </row>
    <row r="15">
      <c r="A15" s="15">
        <f t="shared" si="4"/>
        <v>13</v>
      </c>
      <c r="B15" s="19">
        <v>14490.0</v>
      </c>
      <c r="C15" s="8">
        <v>5.371810075987175</v>
      </c>
      <c r="D15" s="17">
        <f t="shared" si="1"/>
        <v>77837.528</v>
      </c>
      <c r="E15" s="17">
        <f t="shared" si="5"/>
        <v>711918.1678</v>
      </c>
      <c r="F15" s="18">
        <v>0.038</v>
      </c>
      <c r="G15" s="19">
        <f t="shared" si="2"/>
        <v>27052.89038</v>
      </c>
      <c r="H15" s="15">
        <v>0.29</v>
      </c>
      <c r="I15" s="17">
        <f t="shared" si="3"/>
        <v>7845.338209</v>
      </c>
    </row>
    <row r="16">
      <c r="A16" s="15">
        <f t="shared" si="4"/>
        <v>14</v>
      </c>
      <c r="B16" s="19">
        <v>14118.0</v>
      </c>
      <c r="C16" s="8">
        <v>5.176221588294838</v>
      </c>
      <c r="D16" s="17">
        <f t="shared" si="1"/>
        <v>73077.89638</v>
      </c>
      <c r="E16" s="17">
        <f t="shared" si="5"/>
        <v>784996.0642</v>
      </c>
      <c r="F16" s="18">
        <v>0.038</v>
      </c>
      <c r="G16" s="19">
        <f t="shared" si="2"/>
        <v>29829.85044</v>
      </c>
      <c r="H16" s="15">
        <v>0.29</v>
      </c>
      <c r="I16" s="17">
        <f t="shared" si="3"/>
        <v>8650.656628</v>
      </c>
    </row>
    <row r="17">
      <c r="A17" s="15">
        <f t="shared" si="4"/>
        <v>15</v>
      </c>
      <c r="B17" s="19">
        <v>12177.0</v>
      </c>
      <c r="C17" s="8">
        <v>5.819043205108399</v>
      </c>
      <c r="D17" s="17">
        <f t="shared" si="1"/>
        <v>70858.48911</v>
      </c>
      <c r="E17" s="17">
        <f t="shared" si="5"/>
        <v>855854.5533</v>
      </c>
      <c r="F17" s="18">
        <v>0.038</v>
      </c>
      <c r="G17" s="19">
        <f t="shared" si="2"/>
        <v>32522.47303</v>
      </c>
      <c r="H17" s="15">
        <v>0.29</v>
      </c>
      <c r="I17" s="17">
        <f t="shared" si="3"/>
        <v>9431.517178</v>
      </c>
      <c r="R17" s="21"/>
    </row>
    <row r="18">
      <c r="A18" s="15">
        <f t="shared" si="4"/>
        <v>16</v>
      </c>
      <c r="B18" s="19">
        <v>11108.0</v>
      </c>
      <c r="C18" s="8">
        <v>7.361401673640168</v>
      </c>
      <c r="D18" s="17">
        <f t="shared" si="1"/>
        <v>81770.44979</v>
      </c>
      <c r="E18" s="17">
        <f t="shared" si="5"/>
        <v>937625.0031</v>
      </c>
      <c r="F18" s="18">
        <v>0.11</v>
      </c>
      <c r="G18" s="19">
        <f t="shared" si="2"/>
        <v>103138.7503</v>
      </c>
      <c r="H18" s="15">
        <v>0.29</v>
      </c>
      <c r="I18" s="17">
        <f t="shared" si="3"/>
        <v>29910.2376</v>
      </c>
    </row>
    <row r="19">
      <c r="A19" s="15">
        <f t="shared" si="4"/>
        <v>17</v>
      </c>
      <c r="B19" s="19">
        <v>13316.0</v>
      </c>
      <c r="C19" s="8">
        <v>9.62182603997839</v>
      </c>
      <c r="D19" s="17">
        <f t="shared" si="1"/>
        <v>128124.2355</v>
      </c>
      <c r="E19" s="17">
        <f t="shared" si="5"/>
        <v>1065749.239</v>
      </c>
      <c r="F19" s="18">
        <v>0.11</v>
      </c>
      <c r="G19" s="19">
        <f t="shared" si="2"/>
        <v>117232.4163</v>
      </c>
      <c r="H19" s="15">
        <v>0.29</v>
      </c>
      <c r="I19" s="17">
        <f t="shared" si="3"/>
        <v>33997.40071</v>
      </c>
    </row>
    <row r="20">
      <c r="A20" s="15">
        <f t="shared" si="4"/>
        <v>18</v>
      </c>
      <c r="B20" s="19">
        <v>16198.0</v>
      </c>
      <c r="C20" s="8">
        <v>8.601106278765359</v>
      </c>
      <c r="D20" s="17">
        <f t="shared" si="1"/>
        <v>139320.7195</v>
      </c>
      <c r="E20" s="17">
        <f t="shared" si="5"/>
        <v>1205069.958</v>
      </c>
      <c r="F20" s="18">
        <v>0.11</v>
      </c>
      <c r="G20" s="19">
        <f t="shared" si="2"/>
        <v>132557.6954</v>
      </c>
      <c r="H20" s="15">
        <v>0.29</v>
      </c>
      <c r="I20" s="17">
        <f t="shared" si="3"/>
        <v>38441.73167</v>
      </c>
    </row>
    <row r="21">
      <c r="A21" s="15">
        <f t="shared" si="4"/>
        <v>19</v>
      </c>
      <c r="B21" s="19">
        <v>14286.0</v>
      </c>
      <c r="C21" s="8">
        <v>8.344640434192673</v>
      </c>
      <c r="D21" s="17">
        <f t="shared" si="1"/>
        <v>119211.5332</v>
      </c>
      <c r="E21" s="17">
        <f t="shared" si="5"/>
        <v>1324281.491</v>
      </c>
      <c r="F21" s="18">
        <v>0.11</v>
      </c>
      <c r="G21" s="19">
        <f t="shared" si="2"/>
        <v>145670.9641</v>
      </c>
      <c r="H21" s="15">
        <v>0.29</v>
      </c>
      <c r="I21" s="17">
        <f t="shared" si="3"/>
        <v>42244.57958</v>
      </c>
    </row>
    <row r="22">
      <c r="A22" s="15">
        <f t="shared" si="4"/>
        <v>20</v>
      </c>
      <c r="B22" s="19">
        <v>21096.0</v>
      </c>
      <c r="C22" s="8">
        <v>6.810402625357281</v>
      </c>
      <c r="D22" s="17">
        <f t="shared" si="1"/>
        <v>143672.2538</v>
      </c>
      <c r="E22" s="17">
        <f t="shared" si="5"/>
        <v>1467953.745</v>
      </c>
      <c r="F22" s="18">
        <v>0.21</v>
      </c>
      <c r="G22" s="19">
        <f t="shared" si="2"/>
        <v>308270.2865</v>
      </c>
      <c r="H22" s="15">
        <v>0.29</v>
      </c>
      <c r="I22" s="17">
        <f t="shared" si="3"/>
        <v>89398.38308</v>
      </c>
      <c r="R22" s="21"/>
    </row>
    <row r="23">
      <c r="A23" s="15">
        <f t="shared" si="4"/>
        <v>21</v>
      </c>
      <c r="B23" s="19">
        <v>21161.0</v>
      </c>
      <c r="C23" s="8">
        <v>6.919619155487913</v>
      </c>
      <c r="D23" s="17">
        <f t="shared" si="1"/>
        <v>146426.0609</v>
      </c>
      <c r="E23" s="17">
        <f t="shared" si="5"/>
        <v>1614379.806</v>
      </c>
      <c r="F23" s="18">
        <v>0.21</v>
      </c>
      <c r="G23" s="19">
        <f t="shared" si="2"/>
        <v>339019.7593</v>
      </c>
      <c r="H23" s="15">
        <v>0.29</v>
      </c>
      <c r="I23" s="17">
        <f t="shared" si="3"/>
        <v>98315.73019</v>
      </c>
    </row>
    <row r="24">
      <c r="A24" s="15">
        <f t="shared" si="4"/>
        <v>22</v>
      </c>
      <c r="B24" s="19">
        <v>23565.0</v>
      </c>
      <c r="C24" s="8">
        <v>9.964826330004396</v>
      </c>
      <c r="D24" s="17">
        <f t="shared" si="1"/>
        <v>234821.1325</v>
      </c>
      <c r="E24" s="17">
        <f t="shared" si="5"/>
        <v>1849200.939</v>
      </c>
      <c r="F24" s="18">
        <v>0.21</v>
      </c>
      <c r="G24" s="19">
        <f t="shared" si="2"/>
        <v>388332.1971</v>
      </c>
      <c r="H24" s="15">
        <v>0.29</v>
      </c>
      <c r="I24" s="17">
        <f t="shared" si="3"/>
        <v>112616.3372</v>
      </c>
    </row>
    <row r="25">
      <c r="A25" s="15">
        <f t="shared" si="4"/>
        <v>23</v>
      </c>
      <c r="B25" s="19">
        <v>16610.0</v>
      </c>
      <c r="C25" s="8">
        <v>15.60734463276836</v>
      </c>
      <c r="D25" s="17">
        <f t="shared" si="1"/>
        <v>259237.9944</v>
      </c>
      <c r="E25" s="17">
        <f t="shared" si="5"/>
        <v>2108438.933</v>
      </c>
      <c r="F25" s="18">
        <v>0.21</v>
      </c>
      <c r="G25" s="19">
        <f t="shared" si="2"/>
        <v>442772.1759</v>
      </c>
      <c r="H25" s="15">
        <v>0.29</v>
      </c>
      <c r="I25" s="17">
        <f t="shared" si="3"/>
        <v>128403.931</v>
      </c>
    </row>
    <row r="26">
      <c r="A26" s="15">
        <f t="shared" si="4"/>
        <v>24</v>
      </c>
      <c r="B26" s="19">
        <v>22332.0</v>
      </c>
      <c r="C26" s="8">
        <v>24.319356293136337</v>
      </c>
      <c r="D26" s="17">
        <f t="shared" si="1"/>
        <v>543099.8647</v>
      </c>
      <c r="E26" s="17">
        <f t="shared" si="5"/>
        <v>2651538.798</v>
      </c>
      <c r="F26" s="18">
        <v>0.3</v>
      </c>
      <c r="G26" s="19">
        <f t="shared" si="2"/>
        <v>795461.6393</v>
      </c>
      <c r="H26" s="15">
        <v>0.29</v>
      </c>
      <c r="I26" s="17">
        <f t="shared" si="3"/>
        <v>230683.8754</v>
      </c>
    </row>
    <row r="27">
      <c r="A27" s="15">
        <v>25.0</v>
      </c>
      <c r="B27" s="16">
        <v>20109.0</v>
      </c>
      <c r="C27" s="8">
        <v>30.204021289178</v>
      </c>
      <c r="D27" s="17">
        <f t="shared" si="1"/>
        <v>607372.6641</v>
      </c>
      <c r="E27" s="17">
        <f t="shared" si="5"/>
        <v>3258911.462</v>
      </c>
      <c r="F27" s="18">
        <v>0.3</v>
      </c>
      <c r="G27" s="19">
        <f t="shared" si="2"/>
        <v>977673.4385</v>
      </c>
      <c r="H27" s="15">
        <v>0.29</v>
      </c>
      <c r="I27" s="17">
        <f t="shared" si="3"/>
        <v>283525.2972</v>
      </c>
      <c r="R27" s="21"/>
    </row>
    <row r="28">
      <c r="G28" s="17"/>
      <c r="I28" s="17"/>
    </row>
    <row r="29">
      <c r="G29" s="17"/>
      <c r="I29" s="17"/>
    </row>
    <row r="30">
      <c r="G30" s="17"/>
      <c r="I30" s="17"/>
    </row>
    <row r="31">
      <c r="B31" s="22"/>
      <c r="G31" s="17"/>
      <c r="I31" s="17"/>
    </row>
    <row r="32">
      <c r="B32" s="22"/>
      <c r="C32" s="23"/>
      <c r="F32" s="23"/>
      <c r="G32" s="24"/>
      <c r="I32" s="17"/>
      <c r="R32" s="25"/>
    </row>
    <row r="33">
      <c r="B33" s="22"/>
      <c r="C33" s="26"/>
      <c r="F33" s="23"/>
      <c r="G33" s="24"/>
      <c r="I33" s="17"/>
    </row>
    <row r="34">
      <c r="B34" s="22"/>
      <c r="C34" s="8">
        <v>1.81360201511335</v>
      </c>
      <c r="F34" s="23"/>
      <c r="G34" s="24"/>
      <c r="I34" s="17"/>
    </row>
    <row r="35">
      <c r="A35" s="27"/>
      <c r="B35" s="22"/>
      <c r="C35" s="8">
        <v>2.2393145750170382</v>
      </c>
      <c r="D35" s="27"/>
      <c r="E35" s="27"/>
      <c r="F35" s="27"/>
      <c r="G35" s="28"/>
      <c r="I35" s="17"/>
      <c r="J35" s="27"/>
      <c r="K35" s="27"/>
      <c r="L35" s="28"/>
    </row>
    <row r="36">
      <c r="A36" s="29"/>
      <c r="B36" s="23"/>
      <c r="C36" s="8">
        <v>2.824240864642306</v>
      </c>
      <c r="D36" s="27"/>
      <c r="E36" s="27"/>
      <c r="F36" s="27"/>
      <c r="G36" s="28"/>
      <c r="I36" s="17"/>
      <c r="J36" s="29"/>
      <c r="K36" s="29"/>
    </row>
    <row r="37">
      <c r="A37" s="29"/>
      <c r="B37" s="23"/>
      <c r="C37" s="8">
        <v>2.354287090558767</v>
      </c>
      <c r="D37" s="27"/>
      <c r="E37" s="27"/>
      <c r="F37" s="27"/>
      <c r="G37" s="28"/>
      <c r="I37" s="17"/>
      <c r="J37" s="29"/>
      <c r="K37" s="29"/>
    </row>
    <row r="38">
      <c r="A38" s="29"/>
      <c r="B38" s="30"/>
      <c r="C38" s="8">
        <v>3.87653957505275</v>
      </c>
      <c r="D38" s="27"/>
      <c r="E38" s="27"/>
      <c r="F38" s="27"/>
      <c r="G38" s="28"/>
      <c r="I38" s="17"/>
      <c r="J38" s="29"/>
      <c r="K38" s="29"/>
    </row>
    <row r="39">
      <c r="A39" s="29"/>
      <c r="B39" s="23"/>
      <c r="C39" s="8">
        <v>3.487552841709723</v>
      </c>
      <c r="D39" s="27"/>
      <c r="E39" s="27"/>
      <c r="F39" s="27"/>
      <c r="G39" s="28"/>
      <c r="I39" s="17"/>
      <c r="J39" s="29"/>
      <c r="K39" s="29"/>
    </row>
    <row r="40">
      <c r="A40" s="27"/>
      <c r="B40" s="22"/>
      <c r="C40" s="8">
        <v>5.080382172893186</v>
      </c>
      <c r="D40" s="27"/>
      <c r="E40" s="27"/>
      <c r="F40" s="27"/>
      <c r="G40" s="28"/>
      <c r="I40" s="17"/>
      <c r="J40" s="27"/>
      <c r="K40" s="27"/>
    </row>
    <row r="41">
      <c r="A41" s="29"/>
      <c r="B41" s="23"/>
      <c r="C41" s="8">
        <v>4.64373627835806</v>
      </c>
      <c r="D41" s="27"/>
      <c r="E41" s="27"/>
      <c r="F41" s="27"/>
      <c r="G41" s="28"/>
      <c r="I41" s="17"/>
      <c r="J41" s="29"/>
      <c r="K41" s="29"/>
    </row>
    <row r="42">
      <c r="A42" s="29"/>
      <c r="B42" s="23"/>
      <c r="C42" s="8">
        <v>3.660375396454011</v>
      </c>
      <c r="D42" s="27"/>
      <c r="E42" s="27"/>
      <c r="F42" s="27"/>
      <c r="G42" s="28"/>
      <c r="I42" s="17"/>
      <c r="J42" s="29"/>
      <c r="K42" s="29"/>
    </row>
    <row r="43">
      <c r="A43" s="29"/>
      <c r="B43" s="30"/>
      <c r="C43" s="8">
        <v>5.160882616251515</v>
      </c>
      <c r="D43" s="27"/>
      <c r="E43" s="27"/>
      <c r="F43" s="27"/>
      <c r="G43" s="28"/>
      <c r="I43" s="17"/>
      <c r="J43" s="29"/>
      <c r="K43" s="29"/>
    </row>
    <row r="44">
      <c r="A44" s="29"/>
      <c r="B44" s="23"/>
      <c r="C44" s="8">
        <v>5.663677130044843</v>
      </c>
      <c r="D44" s="27"/>
      <c r="E44" s="27"/>
      <c r="F44" s="27"/>
      <c r="G44" s="28"/>
      <c r="I44" s="17"/>
      <c r="J44" s="29"/>
      <c r="K44" s="29"/>
    </row>
    <row r="45">
      <c r="A45" s="27"/>
      <c r="B45" s="22"/>
      <c r="C45" s="8">
        <v>5.426134737565108</v>
      </c>
      <c r="D45" s="27"/>
      <c r="E45" s="27"/>
      <c r="F45" s="27"/>
      <c r="G45" s="28"/>
      <c r="I45" s="17"/>
      <c r="J45" s="27"/>
      <c r="K45" s="27"/>
    </row>
    <row r="46">
      <c r="A46" s="29"/>
      <c r="B46" s="23"/>
      <c r="C46" s="8">
        <v>4.57536963577353</v>
      </c>
      <c r="D46" s="27"/>
      <c r="E46" s="27"/>
      <c r="F46" s="27"/>
      <c r="G46" s="28"/>
      <c r="I46" s="17"/>
      <c r="J46" s="29"/>
      <c r="K46" s="29"/>
    </row>
    <row r="47">
      <c r="A47" s="29"/>
      <c r="B47" s="23"/>
      <c r="C47" s="8">
        <v>5.371810075987175</v>
      </c>
      <c r="D47" s="27"/>
      <c r="E47" s="27"/>
      <c r="F47" s="27"/>
      <c r="G47" s="28"/>
      <c r="I47" s="17"/>
      <c r="J47" s="29"/>
      <c r="K47" s="29"/>
    </row>
    <row r="48">
      <c r="A48" s="29"/>
      <c r="B48" s="23"/>
      <c r="C48" s="8">
        <v>5.176221588294838</v>
      </c>
      <c r="D48" s="27"/>
      <c r="E48" s="27"/>
      <c r="F48" s="27"/>
      <c r="G48" s="28"/>
      <c r="I48" s="17"/>
      <c r="J48" s="29"/>
      <c r="K48" s="29"/>
    </row>
    <row r="49">
      <c r="A49" s="29"/>
      <c r="B49" s="23"/>
      <c r="C49" s="8">
        <v>5.819043205108399</v>
      </c>
      <c r="D49" s="27"/>
      <c r="E49" s="27"/>
      <c r="F49" s="27"/>
      <c r="G49" s="28"/>
      <c r="I49" s="17"/>
      <c r="J49" s="29"/>
      <c r="K49" s="29"/>
    </row>
    <row r="50">
      <c r="A50" s="27"/>
      <c r="B50" s="22"/>
      <c r="C50" s="8">
        <v>7.361401673640168</v>
      </c>
      <c r="D50" s="27"/>
      <c r="E50" s="27"/>
      <c r="F50" s="27"/>
      <c r="G50" s="28"/>
      <c r="I50" s="17"/>
      <c r="J50" s="27"/>
      <c r="K50" s="27"/>
    </row>
    <row r="51">
      <c r="A51" s="29"/>
      <c r="B51" s="23"/>
      <c r="C51" s="8">
        <v>9.62182603997839</v>
      </c>
      <c r="D51" s="27"/>
      <c r="E51" s="27"/>
      <c r="F51" s="27"/>
      <c r="G51" s="28"/>
      <c r="I51" s="17"/>
      <c r="J51" s="29"/>
      <c r="K51" s="29"/>
    </row>
    <row r="52">
      <c r="A52" s="29"/>
      <c r="B52" s="23"/>
      <c r="C52" s="8">
        <v>8.601106278765359</v>
      </c>
      <c r="D52" s="27"/>
      <c r="E52" s="27"/>
      <c r="F52" s="27"/>
      <c r="G52" s="28"/>
      <c r="I52" s="17"/>
      <c r="J52" s="29"/>
      <c r="K52" s="29"/>
    </row>
    <row r="53">
      <c r="A53" s="29"/>
      <c r="B53" s="23"/>
      <c r="C53" s="8">
        <v>8.344640434192673</v>
      </c>
      <c r="D53" s="27"/>
      <c r="E53" s="27"/>
      <c r="F53" s="27"/>
      <c r="G53" s="28"/>
      <c r="I53" s="17"/>
      <c r="J53" s="29"/>
      <c r="K53" s="29"/>
    </row>
    <row r="54">
      <c r="A54" s="29"/>
      <c r="B54" s="23"/>
      <c r="C54" s="8">
        <v>6.810402625357281</v>
      </c>
      <c r="D54" s="27"/>
      <c r="E54" s="27"/>
      <c r="F54" s="27"/>
      <c r="G54" s="28"/>
      <c r="I54" s="17"/>
      <c r="J54" s="29"/>
      <c r="K54" s="29"/>
    </row>
    <row r="55">
      <c r="A55" s="27"/>
      <c r="B55" s="22"/>
      <c r="C55" s="8">
        <v>6.919619155487913</v>
      </c>
      <c r="D55" s="27"/>
      <c r="E55" s="27"/>
      <c r="F55" s="27"/>
      <c r="G55" s="28"/>
      <c r="I55" s="17"/>
      <c r="J55" s="27"/>
      <c r="K55" s="27"/>
    </row>
    <row r="56">
      <c r="A56" s="29"/>
      <c r="B56" s="23"/>
      <c r="C56" s="8">
        <v>9.964826330004396</v>
      </c>
      <c r="D56" s="27"/>
      <c r="E56" s="27"/>
      <c r="F56" s="27"/>
      <c r="G56" s="28"/>
      <c r="I56" s="17"/>
      <c r="J56" s="29"/>
      <c r="K56" s="29"/>
    </row>
    <row r="57">
      <c r="A57" s="29"/>
      <c r="B57" s="23"/>
      <c r="C57" s="8">
        <v>15.60734463276836</v>
      </c>
      <c r="D57" s="27"/>
      <c r="E57" s="27"/>
      <c r="F57" s="27"/>
      <c r="G57" s="28"/>
      <c r="I57" s="17"/>
      <c r="J57" s="29"/>
      <c r="K57" s="29"/>
    </row>
    <row r="58">
      <c r="A58" s="29"/>
      <c r="B58" s="23"/>
      <c r="C58" s="8">
        <v>24.319356293136337</v>
      </c>
      <c r="D58" s="27"/>
      <c r="E58" s="27"/>
      <c r="F58" s="27"/>
      <c r="G58" s="28"/>
      <c r="I58" s="17"/>
      <c r="J58" s="29"/>
      <c r="K58" s="29"/>
    </row>
    <row r="59">
      <c r="A59" s="29"/>
      <c r="B59" s="23"/>
      <c r="C59" s="31">
        <v>30.204021289178</v>
      </c>
      <c r="D59" s="27"/>
      <c r="E59" s="27"/>
      <c r="F59" s="27"/>
      <c r="G59" s="28"/>
      <c r="I59" s="17"/>
      <c r="J59" s="29"/>
      <c r="K59" s="29"/>
    </row>
    <row r="60">
      <c r="A60" s="27"/>
      <c r="B60" s="22"/>
      <c r="D60" s="27"/>
      <c r="E60" s="27"/>
      <c r="F60" s="27"/>
      <c r="G60" s="28"/>
      <c r="I60" s="17"/>
      <c r="J60" s="27"/>
      <c r="K60" s="27"/>
    </row>
    <row r="61">
      <c r="A61" s="29"/>
      <c r="B61" s="23"/>
      <c r="D61" s="27"/>
      <c r="E61" s="27"/>
      <c r="F61" s="27"/>
      <c r="G61" s="28"/>
      <c r="I61" s="17"/>
      <c r="J61" s="29"/>
      <c r="K61" s="29"/>
    </row>
    <row r="62">
      <c r="A62" s="29"/>
      <c r="B62" s="23"/>
      <c r="D62" s="27"/>
      <c r="E62" s="27"/>
      <c r="F62" s="27"/>
      <c r="G62" s="28"/>
      <c r="I62" s="17"/>
      <c r="J62" s="29"/>
      <c r="K62" s="29"/>
    </row>
    <row r="63">
      <c r="A63" s="29"/>
      <c r="B63" s="23"/>
      <c r="C63" s="25"/>
      <c r="D63" s="27"/>
      <c r="E63" s="27"/>
      <c r="F63" s="27"/>
      <c r="G63" s="28"/>
      <c r="I63" s="17"/>
      <c r="J63" s="29"/>
      <c r="K63" s="29"/>
    </row>
    <row r="64">
      <c r="A64" s="29"/>
      <c r="B64" s="23"/>
      <c r="D64" s="27"/>
      <c r="E64" s="27"/>
      <c r="F64" s="27"/>
      <c r="G64" s="28"/>
      <c r="I64" s="17"/>
      <c r="J64" s="29"/>
      <c r="K64" s="29"/>
    </row>
    <row r="65">
      <c r="A65" s="32"/>
      <c r="B65" s="22"/>
      <c r="D65" s="32"/>
      <c r="E65" s="32"/>
      <c r="F65" s="27"/>
      <c r="G65" s="28"/>
      <c r="I65" s="17"/>
      <c r="J65" s="32"/>
      <c r="K65" s="32"/>
    </row>
    <row r="66">
      <c r="A66" s="33"/>
      <c r="B66" s="34"/>
      <c r="C66" s="35"/>
      <c r="D66" s="35"/>
      <c r="E66" s="35"/>
      <c r="F66" s="35"/>
      <c r="G66" s="36"/>
      <c r="I66" s="17"/>
      <c r="J66" s="33"/>
      <c r="K66" s="33"/>
    </row>
    <row r="67">
      <c r="G67" s="17"/>
      <c r="I67" s="17"/>
    </row>
    <row r="68">
      <c r="G68" s="17"/>
      <c r="I68" s="17"/>
    </row>
    <row r="69">
      <c r="G69" s="17"/>
      <c r="I69" s="17"/>
    </row>
    <row r="70">
      <c r="A70" s="37"/>
      <c r="B70" s="22"/>
      <c r="C70" s="37"/>
      <c r="D70" s="37"/>
      <c r="E70" s="37"/>
      <c r="F70" s="37"/>
      <c r="G70" s="38"/>
      <c r="I70" s="17"/>
      <c r="J70" s="37"/>
      <c r="K70" s="37"/>
      <c r="L70" s="37"/>
    </row>
    <row r="71">
      <c r="A71" s="29"/>
      <c r="B71" s="23"/>
      <c r="C71" s="27"/>
      <c r="D71" s="27"/>
      <c r="E71" s="27"/>
      <c r="F71" s="27"/>
      <c r="G71" s="28"/>
      <c r="I71" s="17"/>
      <c r="J71" s="29"/>
      <c r="K71" s="29"/>
      <c r="L71" s="27"/>
    </row>
    <row r="72">
      <c r="A72" s="29"/>
      <c r="B72" s="23"/>
      <c r="C72" s="27"/>
      <c r="D72" s="27"/>
      <c r="E72" s="27"/>
      <c r="F72" s="27"/>
      <c r="G72" s="28"/>
      <c r="I72" s="17"/>
      <c r="J72" s="29"/>
      <c r="K72" s="29"/>
      <c r="L72" s="27"/>
    </row>
    <row r="73">
      <c r="A73" s="29"/>
      <c r="B73" s="30"/>
      <c r="C73" s="27"/>
      <c r="D73" s="27"/>
      <c r="E73" s="27"/>
      <c r="F73" s="27"/>
      <c r="G73" s="28"/>
      <c r="I73" s="17"/>
      <c r="J73" s="29"/>
      <c r="K73" s="29"/>
      <c r="L73" s="27"/>
    </row>
    <row r="74">
      <c r="A74" s="29"/>
      <c r="B74" s="23"/>
      <c r="C74" s="27"/>
      <c r="D74" s="27"/>
      <c r="E74" s="27"/>
      <c r="F74" s="27"/>
      <c r="G74" s="28"/>
      <c r="I74" s="17"/>
      <c r="J74" s="29"/>
      <c r="K74" s="29"/>
      <c r="L74" s="27"/>
    </row>
    <row r="75">
      <c r="A75" s="27"/>
      <c r="B75" s="22"/>
      <c r="C75" s="27"/>
      <c r="D75" s="27"/>
      <c r="E75" s="27"/>
      <c r="F75" s="27"/>
      <c r="G75" s="28"/>
      <c r="I75" s="17"/>
      <c r="J75" s="27"/>
      <c r="K75" s="27"/>
      <c r="L75" s="27"/>
    </row>
    <row r="76">
      <c r="A76" s="29"/>
      <c r="B76" s="23"/>
      <c r="C76" s="27"/>
      <c r="D76" s="27"/>
      <c r="E76" s="27"/>
      <c r="F76" s="27"/>
      <c r="G76" s="28"/>
      <c r="I76" s="17"/>
      <c r="J76" s="29"/>
      <c r="K76" s="29"/>
      <c r="L76" s="27"/>
    </row>
    <row r="77">
      <c r="A77" s="29"/>
      <c r="B77" s="23"/>
      <c r="C77" s="27"/>
      <c r="D77" s="27"/>
      <c r="E77" s="27"/>
      <c r="F77" s="27"/>
      <c r="G77" s="28"/>
      <c r="I77" s="17"/>
      <c r="J77" s="29"/>
      <c r="K77" s="29"/>
      <c r="L77" s="27"/>
    </row>
    <row r="78">
      <c r="A78" s="29"/>
      <c r="B78" s="30"/>
      <c r="C78" s="27"/>
      <c r="D78" s="27"/>
      <c r="E78" s="27"/>
      <c r="F78" s="27"/>
      <c r="G78" s="28"/>
      <c r="I78" s="17"/>
      <c r="J78" s="29"/>
      <c r="K78" s="29"/>
      <c r="L78" s="27"/>
    </row>
    <row r="79">
      <c r="A79" s="29"/>
      <c r="B79" s="23"/>
      <c r="C79" s="27"/>
      <c r="D79" s="27"/>
      <c r="E79" s="27"/>
      <c r="F79" s="27"/>
      <c r="G79" s="28"/>
      <c r="I79" s="17"/>
      <c r="J79" s="29"/>
      <c r="K79" s="29"/>
      <c r="L79" s="27"/>
    </row>
    <row r="80">
      <c r="A80" s="27"/>
      <c r="B80" s="22"/>
      <c r="C80" s="27"/>
      <c r="D80" s="27"/>
      <c r="E80" s="27"/>
      <c r="F80" s="27"/>
      <c r="G80" s="28"/>
      <c r="I80" s="17"/>
      <c r="J80" s="27"/>
      <c r="K80" s="27"/>
      <c r="L80" s="27"/>
    </row>
    <row r="81">
      <c r="A81" s="29"/>
      <c r="B81" s="23"/>
      <c r="C81" s="27"/>
      <c r="D81" s="27"/>
      <c r="E81" s="27"/>
      <c r="F81" s="27"/>
      <c r="G81" s="28"/>
      <c r="I81" s="17"/>
      <c r="J81" s="29"/>
      <c r="K81" s="29"/>
      <c r="L81" s="27"/>
    </row>
    <row r="82">
      <c r="A82" s="29"/>
      <c r="B82" s="23"/>
      <c r="C82" s="27"/>
      <c r="D82" s="27"/>
      <c r="E82" s="27"/>
      <c r="F82" s="27"/>
      <c r="G82" s="28"/>
      <c r="I82" s="17"/>
      <c r="J82" s="29"/>
      <c r="K82" s="29"/>
      <c r="L82" s="27"/>
    </row>
    <row r="83">
      <c r="A83" s="29"/>
      <c r="B83" s="23"/>
      <c r="C83" s="27"/>
      <c r="D83" s="27"/>
      <c r="E83" s="27"/>
      <c r="F83" s="27"/>
      <c r="G83" s="28"/>
      <c r="I83" s="17"/>
      <c r="J83" s="29"/>
      <c r="K83" s="29"/>
      <c r="L83" s="27"/>
    </row>
    <row r="84">
      <c r="A84" s="29"/>
      <c r="B84" s="23"/>
      <c r="C84" s="27"/>
      <c r="D84" s="27"/>
      <c r="E84" s="27"/>
      <c r="F84" s="27"/>
      <c r="G84" s="28"/>
      <c r="I84" s="17"/>
      <c r="J84" s="29"/>
      <c r="K84" s="29"/>
      <c r="L84" s="27"/>
    </row>
    <row r="85">
      <c r="A85" s="27"/>
      <c r="B85" s="22"/>
      <c r="C85" s="27"/>
      <c r="D85" s="27"/>
      <c r="E85" s="27"/>
      <c r="F85" s="27"/>
      <c r="G85" s="28"/>
      <c r="I85" s="17"/>
      <c r="J85" s="27"/>
      <c r="K85" s="27"/>
      <c r="L85" s="27"/>
    </row>
    <row r="86">
      <c r="A86" s="29"/>
      <c r="B86" s="23"/>
      <c r="C86" s="27"/>
      <c r="D86" s="27"/>
      <c r="E86" s="27"/>
      <c r="F86" s="27"/>
      <c r="G86" s="28"/>
      <c r="I86" s="17"/>
      <c r="J86" s="29"/>
      <c r="K86" s="29"/>
      <c r="L86" s="27"/>
    </row>
    <row r="87">
      <c r="A87" s="29"/>
      <c r="B87" s="23"/>
      <c r="C87" s="27"/>
      <c r="D87" s="27"/>
      <c r="E87" s="27"/>
      <c r="F87" s="27"/>
      <c r="G87" s="28"/>
      <c r="I87" s="17"/>
      <c r="J87" s="29"/>
      <c r="K87" s="29"/>
      <c r="L87" s="27"/>
    </row>
    <row r="88">
      <c r="A88" s="29"/>
      <c r="B88" s="23"/>
      <c r="C88" s="27"/>
      <c r="D88" s="27"/>
      <c r="E88" s="27"/>
      <c r="F88" s="27"/>
      <c r="G88" s="28"/>
      <c r="I88" s="17"/>
      <c r="J88" s="29"/>
      <c r="K88" s="29"/>
      <c r="L88" s="27"/>
    </row>
    <row r="89">
      <c r="A89" s="29"/>
      <c r="B89" s="23"/>
      <c r="C89" s="27"/>
      <c r="D89" s="27"/>
      <c r="E89" s="27"/>
      <c r="F89" s="27"/>
      <c r="G89" s="28"/>
      <c r="I89" s="17"/>
      <c r="J89" s="29"/>
      <c r="K89" s="29"/>
      <c r="L89" s="27"/>
    </row>
    <row r="90">
      <c r="A90" s="27"/>
      <c r="B90" s="22"/>
      <c r="C90" s="27"/>
      <c r="D90" s="27"/>
      <c r="E90" s="27"/>
      <c r="F90" s="27"/>
      <c r="G90" s="28"/>
      <c r="I90" s="17"/>
      <c r="J90" s="27"/>
      <c r="K90" s="27"/>
      <c r="L90" s="27"/>
    </row>
    <row r="91">
      <c r="A91" s="29"/>
      <c r="B91" s="23"/>
      <c r="C91" s="27"/>
      <c r="D91" s="27"/>
      <c r="E91" s="27"/>
      <c r="F91" s="27"/>
      <c r="G91" s="28"/>
      <c r="I91" s="17"/>
      <c r="J91" s="29"/>
      <c r="K91" s="29"/>
      <c r="L91" s="27"/>
    </row>
    <row r="92">
      <c r="A92" s="29"/>
      <c r="B92" s="23"/>
      <c r="C92" s="27"/>
      <c r="D92" s="27"/>
      <c r="E92" s="27"/>
      <c r="F92" s="27"/>
      <c r="G92" s="28"/>
      <c r="I92" s="17"/>
      <c r="J92" s="29"/>
      <c r="K92" s="29"/>
      <c r="L92" s="27"/>
    </row>
    <row r="93">
      <c r="A93" s="29"/>
      <c r="B93" s="23"/>
      <c r="C93" s="27"/>
      <c r="D93" s="27"/>
      <c r="E93" s="27"/>
      <c r="F93" s="27"/>
      <c r="G93" s="28"/>
      <c r="I93" s="17"/>
      <c r="J93" s="29"/>
      <c r="K93" s="29"/>
      <c r="L93" s="27"/>
    </row>
    <row r="94">
      <c r="A94" s="29"/>
      <c r="B94" s="23"/>
      <c r="C94" s="27"/>
      <c r="D94" s="27"/>
      <c r="E94" s="27"/>
      <c r="F94" s="27"/>
      <c r="G94" s="28"/>
      <c r="I94" s="17"/>
      <c r="J94" s="29"/>
      <c r="K94" s="29"/>
      <c r="L94" s="27"/>
    </row>
    <row r="95">
      <c r="A95" s="27"/>
      <c r="B95" s="22"/>
      <c r="C95" s="27"/>
      <c r="D95" s="27"/>
      <c r="E95" s="27"/>
      <c r="F95" s="27"/>
      <c r="G95" s="28"/>
      <c r="I95" s="17"/>
      <c r="J95" s="27"/>
      <c r="K95" s="27"/>
      <c r="L95" s="27"/>
    </row>
    <row r="96">
      <c r="A96" s="29"/>
      <c r="B96" s="23"/>
      <c r="C96" s="27"/>
      <c r="D96" s="27"/>
      <c r="E96" s="27"/>
      <c r="F96" s="27"/>
      <c r="G96" s="28"/>
      <c r="I96" s="17"/>
      <c r="J96" s="29"/>
      <c r="K96" s="29"/>
      <c r="L96" s="27"/>
    </row>
    <row r="97">
      <c r="A97" s="29"/>
      <c r="B97" s="23"/>
      <c r="C97" s="27"/>
      <c r="D97" s="27"/>
      <c r="E97" s="27"/>
      <c r="F97" s="27"/>
      <c r="G97" s="28"/>
      <c r="I97" s="17"/>
      <c r="J97" s="29"/>
      <c r="K97" s="29"/>
      <c r="L97" s="27"/>
    </row>
    <row r="98">
      <c r="A98" s="29"/>
      <c r="B98" s="23"/>
      <c r="C98" s="27"/>
      <c r="D98" s="27"/>
      <c r="E98" s="27"/>
      <c r="F98" s="27"/>
      <c r="G98" s="28"/>
      <c r="I98" s="17"/>
      <c r="J98" s="29"/>
      <c r="K98" s="29"/>
      <c r="L98" s="27"/>
    </row>
    <row r="99">
      <c r="A99" s="29"/>
      <c r="B99" s="23"/>
      <c r="C99" s="27"/>
      <c r="D99" s="27"/>
      <c r="E99" s="27"/>
      <c r="F99" s="27"/>
      <c r="G99" s="28"/>
      <c r="I99" s="17"/>
      <c r="J99" s="29"/>
      <c r="K99" s="29"/>
      <c r="L99" s="27"/>
    </row>
    <row r="100">
      <c r="A100" s="32"/>
      <c r="B100" s="22"/>
      <c r="C100" s="27"/>
      <c r="D100" s="32"/>
      <c r="E100" s="32"/>
      <c r="F100" s="27"/>
      <c r="G100" s="28"/>
      <c r="I100" s="17"/>
      <c r="J100" s="32"/>
      <c r="K100" s="32"/>
      <c r="L100" s="32"/>
    </row>
    <row r="101">
      <c r="A101" s="33"/>
      <c r="B101" s="34"/>
      <c r="C101" s="35"/>
      <c r="D101" s="35"/>
      <c r="E101" s="35"/>
      <c r="F101" s="35"/>
      <c r="G101" s="36"/>
      <c r="I101" s="17"/>
      <c r="J101" s="33"/>
      <c r="K101" s="33"/>
      <c r="L101" s="35"/>
    </row>
    <row r="102">
      <c r="G102" s="17"/>
      <c r="I102" s="17"/>
    </row>
    <row r="103">
      <c r="G103" s="17"/>
      <c r="I103" s="17"/>
    </row>
    <row r="104">
      <c r="G104" s="17"/>
      <c r="I104" s="17"/>
    </row>
    <row r="105">
      <c r="G105" s="17"/>
      <c r="I105" s="17"/>
    </row>
    <row r="106">
      <c r="G106" s="17"/>
      <c r="I106" s="17"/>
    </row>
    <row r="107">
      <c r="G107" s="17"/>
      <c r="I107" s="17"/>
    </row>
    <row r="108">
      <c r="G108" s="17"/>
      <c r="I108" s="17"/>
    </row>
    <row r="109">
      <c r="G109" s="17"/>
      <c r="I109" s="17"/>
    </row>
    <row r="110">
      <c r="G110" s="17"/>
      <c r="I110" s="17"/>
    </row>
    <row r="111">
      <c r="G111" s="17"/>
      <c r="I111" s="17"/>
    </row>
    <row r="112">
      <c r="G112" s="17"/>
      <c r="I112" s="17"/>
    </row>
    <row r="113">
      <c r="G113" s="17"/>
      <c r="I113" s="17"/>
    </row>
    <row r="114">
      <c r="G114" s="17"/>
      <c r="I114" s="17"/>
    </row>
    <row r="115">
      <c r="G115" s="17"/>
      <c r="I115" s="17"/>
    </row>
    <row r="116">
      <c r="G116" s="17"/>
      <c r="I116" s="17"/>
    </row>
    <row r="117">
      <c r="G117" s="17"/>
      <c r="I117" s="17"/>
    </row>
    <row r="118">
      <c r="G118" s="17"/>
      <c r="I118" s="17"/>
    </row>
    <row r="119">
      <c r="G119" s="17"/>
      <c r="I119" s="17"/>
    </row>
    <row r="120">
      <c r="G120" s="17"/>
      <c r="I120" s="17"/>
    </row>
    <row r="121">
      <c r="G121" s="17"/>
      <c r="I121" s="17"/>
    </row>
    <row r="122">
      <c r="G122" s="17"/>
      <c r="I122" s="17"/>
    </row>
    <row r="123">
      <c r="G123" s="17"/>
      <c r="I123" s="17"/>
    </row>
    <row r="124">
      <c r="G124" s="17"/>
      <c r="I124" s="17"/>
    </row>
    <row r="125">
      <c r="G125" s="17"/>
      <c r="I125" s="17"/>
    </row>
    <row r="126">
      <c r="G126" s="17"/>
      <c r="I126" s="17"/>
    </row>
    <row r="127">
      <c r="G127" s="17"/>
      <c r="I127" s="17"/>
    </row>
    <row r="128">
      <c r="G128" s="17"/>
      <c r="I128" s="17"/>
    </row>
    <row r="129">
      <c r="G129" s="17"/>
      <c r="I129" s="17"/>
    </row>
    <row r="130">
      <c r="G130" s="17"/>
      <c r="I130" s="17"/>
    </row>
    <row r="131">
      <c r="G131" s="17"/>
      <c r="I131" s="17"/>
    </row>
    <row r="132">
      <c r="G132" s="17"/>
      <c r="I132" s="17"/>
    </row>
    <row r="133">
      <c r="G133" s="17"/>
      <c r="I133" s="17"/>
    </row>
    <row r="134">
      <c r="G134" s="17"/>
      <c r="I134" s="17"/>
    </row>
    <row r="135">
      <c r="G135" s="17"/>
      <c r="I135" s="17"/>
    </row>
    <row r="136">
      <c r="G136" s="17"/>
      <c r="I136" s="17"/>
    </row>
    <row r="137">
      <c r="G137" s="17"/>
      <c r="I137" s="17"/>
    </row>
    <row r="138">
      <c r="G138" s="17"/>
      <c r="I138" s="17"/>
    </row>
    <row r="139">
      <c r="G139" s="17"/>
      <c r="I139" s="17"/>
    </row>
    <row r="140">
      <c r="G140" s="17"/>
      <c r="I140" s="17"/>
    </row>
    <row r="141">
      <c r="G141" s="17"/>
      <c r="I141" s="17"/>
    </row>
    <row r="142">
      <c r="G142" s="17"/>
      <c r="I142" s="17"/>
    </row>
    <row r="143">
      <c r="G143" s="17"/>
      <c r="I143" s="17"/>
    </row>
    <row r="144">
      <c r="G144" s="17"/>
      <c r="I144" s="17"/>
    </row>
    <row r="145">
      <c r="G145" s="17"/>
      <c r="I145" s="17"/>
    </row>
    <row r="146">
      <c r="G146" s="17"/>
      <c r="I146" s="17"/>
    </row>
    <row r="147">
      <c r="G147" s="17"/>
      <c r="I147" s="17"/>
    </row>
    <row r="148">
      <c r="G148" s="17"/>
      <c r="I148" s="17"/>
    </row>
    <row r="149">
      <c r="G149" s="17"/>
      <c r="I149" s="17"/>
    </row>
    <row r="150">
      <c r="G150" s="17"/>
      <c r="I150" s="17"/>
    </row>
    <row r="151">
      <c r="G151" s="17"/>
      <c r="I151" s="17"/>
    </row>
    <row r="152">
      <c r="G152" s="17"/>
      <c r="I152" s="17"/>
    </row>
    <row r="153">
      <c r="G153" s="17"/>
      <c r="I153" s="17"/>
    </row>
    <row r="154">
      <c r="G154" s="17"/>
      <c r="I154" s="17"/>
    </row>
    <row r="155">
      <c r="G155" s="17"/>
      <c r="I155" s="17"/>
    </row>
    <row r="156">
      <c r="G156" s="17"/>
      <c r="I156" s="17"/>
    </row>
    <row r="157">
      <c r="G157" s="17"/>
      <c r="I157" s="17"/>
    </row>
    <row r="158">
      <c r="G158" s="17"/>
      <c r="I158" s="17"/>
    </row>
    <row r="159">
      <c r="G159" s="17"/>
      <c r="I159" s="17"/>
    </row>
    <row r="160">
      <c r="G160" s="17"/>
      <c r="I160" s="17"/>
    </row>
    <row r="161">
      <c r="G161" s="17"/>
      <c r="I161" s="17"/>
    </row>
    <row r="162">
      <c r="G162" s="17"/>
      <c r="I162" s="17"/>
    </row>
    <row r="163">
      <c r="G163" s="17"/>
      <c r="I163" s="17"/>
    </row>
    <row r="164">
      <c r="G164" s="17"/>
      <c r="I164" s="17"/>
    </row>
    <row r="165">
      <c r="G165" s="17"/>
      <c r="I165" s="17"/>
    </row>
    <row r="166">
      <c r="G166" s="17"/>
      <c r="I166" s="17"/>
    </row>
    <row r="167">
      <c r="G167" s="17"/>
      <c r="I167" s="17"/>
    </row>
    <row r="168">
      <c r="G168" s="17"/>
      <c r="I168" s="17"/>
    </row>
    <row r="169">
      <c r="G169" s="17"/>
      <c r="I169" s="17"/>
    </row>
    <row r="170">
      <c r="G170" s="17"/>
      <c r="I170" s="17"/>
    </row>
    <row r="171">
      <c r="G171" s="17"/>
      <c r="I171" s="17"/>
    </row>
    <row r="172">
      <c r="G172" s="17"/>
      <c r="I172" s="17"/>
    </row>
    <row r="173">
      <c r="G173" s="17"/>
      <c r="I173" s="17"/>
    </row>
    <row r="174">
      <c r="G174" s="17"/>
      <c r="I174" s="17"/>
    </row>
    <row r="175">
      <c r="G175" s="17"/>
      <c r="I175" s="17"/>
    </row>
    <row r="176">
      <c r="G176" s="17"/>
      <c r="I176" s="17"/>
    </row>
    <row r="177">
      <c r="G177" s="17"/>
      <c r="I177" s="17"/>
    </row>
    <row r="178">
      <c r="G178" s="17"/>
      <c r="I178" s="17"/>
    </row>
    <row r="179">
      <c r="G179" s="17"/>
      <c r="I179" s="17"/>
    </row>
    <row r="180">
      <c r="G180" s="17"/>
      <c r="I180" s="17"/>
    </row>
    <row r="181">
      <c r="G181" s="17"/>
      <c r="I181" s="17"/>
    </row>
    <row r="182">
      <c r="G182" s="17"/>
      <c r="I182" s="17"/>
    </row>
    <row r="183">
      <c r="G183" s="17"/>
      <c r="I183" s="17"/>
    </row>
    <row r="184">
      <c r="G184" s="17"/>
      <c r="I184" s="17"/>
    </row>
    <row r="185">
      <c r="G185" s="17"/>
      <c r="I185" s="17"/>
    </row>
    <row r="186">
      <c r="G186" s="17"/>
      <c r="I186" s="17"/>
    </row>
    <row r="187">
      <c r="G187" s="17"/>
      <c r="I187" s="17"/>
    </row>
    <row r="188">
      <c r="G188" s="17"/>
      <c r="I188" s="17"/>
    </row>
    <row r="189">
      <c r="G189" s="17"/>
      <c r="I189" s="17"/>
    </row>
    <row r="190">
      <c r="G190" s="17"/>
      <c r="I190" s="17"/>
    </row>
    <row r="191">
      <c r="G191" s="17"/>
      <c r="I191" s="17"/>
    </row>
    <row r="192">
      <c r="G192" s="17"/>
      <c r="I192" s="17"/>
    </row>
    <row r="193">
      <c r="G193" s="17"/>
      <c r="I193" s="17"/>
    </row>
    <row r="194">
      <c r="G194" s="17"/>
      <c r="I194" s="17"/>
    </row>
    <row r="195">
      <c r="G195" s="17"/>
      <c r="I195" s="17"/>
    </row>
    <row r="196">
      <c r="G196" s="17"/>
      <c r="I196" s="17"/>
    </row>
    <row r="197">
      <c r="G197" s="17"/>
      <c r="I197" s="17"/>
    </row>
    <row r="198">
      <c r="G198" s="17"/>
      <c r="I198" s="17"/>
    </row>
    <row r="199">
      <c r="G199" s="17"/>
      <c r="I199" s="17"/>
    </row>
    <row r="200">
      <c r="G200" s="17"/>
      <c r="I200" s="17"/>
    </row>
    <row r="201">
      <c r="G201" s="17"/>
      <c r="I201" s="17"/>
    </row>
    <row r="202">
      <c r="G202" s="17"/>
      <c r="I202" s="17"/>
    </row>
    <row r="203">
      <c r="G203" s="17"/>
      <c r="I203" s="17"/>
    </row>
    <row r="204">
      <c r="G204" s="17"/>
      <c r="I204" s="17"/>
    </row>
    <row r="205">
      <c r="G205" s="17"/>
      <c r="I205" s="17"/>
    </row>
    <row r="206">
      <c r="G206" s="17"/>
      <c r="I206" s="17"/>
    </row>
    <row r="207">
      <c r="G207" s="17"/>
      <c r="I207" s="17"/>
    </row>
    <row r="208">
      <c r="G208" s="17"/>
      <c r="I208" s="17"/>
    </row>
    <row r="209">
      <c r="G209" s="17"/>
      <c r="I209" s="17"/>
    </row>
    <row r="210">
      <c r="G210" s="17"/>
      <c r="I210" s="17"/>
    </row>
    <row r="211">
      <c r="G211" s="17"/>
      <c r="I211" s="17"/>
    </row>
    <row r="212">
      <c r="G212" s="17"/>
      <c r="I212" s="17"/>
    </row>
    <row r="213">
      <c r="G213" s="17"/>
      <c r="I213" s="17"/>
    </row>
    <row r="214">
      <c r="G214" s="17"/>
      <c r="I214" s="17"/>
    </row>
    <row r="215">
      <c r="G215" s="17"/>
      <c r="I215" s="17"/>
    </row>
    <row r="216">
      <c r="G216" s="17"/>
      <c r="I216" s="17"/>
    </row>
    <row r="217">
      <c r="G217" s="17"/>
      <c r="I217" s="17"/>
    </row>
    <row r="218">
      <c r="G218" s="17"/>
      <c r="I218" s="17"/>
    </row>
    <row r="219">
      <c r="G219" s="17"/>
      <c r="I219" s="17"/>
    </row>
    <row r="220">
      <c r="G220" s="17"/>
      <c r="I220" s="17"/>
    </row>
    <row r="221">
      <c r="G221" s="17"/>
      <c r="I221" s="17"/>
    </row>
    <row r="222">
      <c r="G222" s="17"/>
      <c r="I222" s="17"/>
    </row>
    <row r="223">
      <c r="G223" s="17"/>
      <c r="I223" s="17"/>
    </row>
    <row r="224">
      <c r="G224" s="17"/>
      <c r="I224" s="17"/>
    </row>
    <row r="225">
      <c r="G225" s="17"/>
      <c r="I225" s="17"/>
    </row>
    <row r="226">
      <c r="G226" s="17"/>
      <c r="I226" s="17"/>
    </row>
    <row r="227">
      <c r="G227" s="17"/>
      <c r="I227" s="17"/>
    </row>
    <row r="228">
      <c r="G228" s="17"/>
      <c r="I228" s="17"/>
    </row>
    <row r="229">
      <c r="G229" s="17"/>
      <c r="I229" s="17"/>
    </row>
    <row r="230">
      <c r="G230" s="17"/>
      <c r="I230" s="17"/>
    </row>
    <row r="231">
      <c r="G231" s="17"/>
      <c r="I231" s="17"/>
    </row>
    <row r="232">
      <c r="G232" s="17"/>
      <c r="I232" s="17"/>
    </row>
    <row r="233">
      <c r="G233" s="17"/>
      <c r="I233" s="17"/>
    </row>
    <row r="234">
      <c r="G234" s="17"/>
      <c r="I234" s="17"/>
    </row>
    <row r="235">
      <c r="G235" s="17"/>
      <c r="I235" s="17"/>
    </row>
    <row r="236">
      <c r="G236" s="17"/>
      <c r="I236" s="17"/>
    </row>
    <row r="237">
      <c r="G237" s="17"/>
      <c r="I237" s="17"/>
    </row>
    <row r="238">
      <c r="G238" s="17"/>
      <c r="I238" s="17"/>
    </row>
    <row r="239">
      <c r="G239" s="17"/>
      <c r="I239" s="17"/>
    </row>
    <row r="240">
      <c r="G240" s="17"/>
      <c r="I240" s="17"/>
    </row>
    <row r="241">
      <c r="G241" s="17"/>
      <c r="I241" s="17"/>
    </row>
    <row r="242">
      <c r="G242" s="17"/>
      <c r="I242" s="17"/>
    </row>
    <row r="243">
      <c r="G243" s="17"/>
      <c r="I243" s="17"/>
    </row>
    <row r="244">
      <c r="G244" s="17"/>
      <c r="I244" s="17"/>
    </row>
    <row r="245">
      <c r="G245" s="17"/>
      <c r="I245" s="17"/>
    </row>
    <row r="246">
      <c r="G246" s="17"/>
      <c r="I246" s="17"/>
    </row>
    <row r="247">
      <c r="G247" s="17"/>
      <c r="I247" s="17"/>
    </row>
    <row r="248">
      <c r="G248" s="17"/>
      <c r="I248" s="17"/>
    </row>
    <row r="249">
      <c r="G249" s="17"/>
      <c r="I249" s="17"/>
    </row>
    <row r="250">
      <c r="G250" s="17"/>
      <c r="I250" s="17"/>
    </row>
    <row r="251">
      <c r="G251" s="17"/>
      <c r="I251" s="17"/>
    </row>
    <row r="252">
      <c r="G252" s="17"/>
      <c r="I252" s="17"/>
    </row>
    <row r="253">
      <c r="G253" s="17"/>
      <c r="I253" s="17"/>
    </row>
    <row r="254">
      <c r="G254" s="17"/>
      <c r="I254" s="17"/>
    </row>
    <row r="255">
      <c r="G255" s="17"/>
      <c r="I255" s="17"/>
    </row>
    <row r="256">
      <c r="G256" s="17"/>
      <c r="I256" s="17"/>
    </row>
    <row r="257">
      <c r="G257" s="17"/>
      <c r="I257" s="17"/>
    </row>
    <row r="258">
      <c r="G258" s="17"/>
      <c r="I258" s="17"/>
    </row>
    <row r="259">
      <c r="G259" s="17"/>
      <c r="I259" s="17"/>
    </row>
    <row r="260">
      <c r="G260" s="17"/>
      <c r="I260" s="17"/>
    </row>
    <row r="261">
      <c r="G261" s="17"/>
      <c r="I261" s="17"/>
    </row>
    <row r="262">
      <c r="G262" s="17"/>
      <c r="I262" s="17"/>
    </row>
    <row r="263">
      <c r="G263" s="17"/>
      <c r="I263" s="17"/>
    </row>
    <row r="264">
      <c r="G264" s="17"/>
      <c r="I264" s="17"/>
    </row>
    <row r="265">
      <c r="G265" s="17"/>
      <c r="I265" s="17"/>
    </row>
    <row r="266">
      <c r="G266" s="17"/>
      <c r="I266" s="17"/>
    </row>
    <row r="267">
      <c r="G267" s="17"/>
      <c r="I267" s="17"/>
    </row>
    <row r="268">
      <c r="G268" s="17"/>
      <c r="I268" s="17"/>
    </row>
    <row r="269">
      <c r="G269" s="17"/>
      <c r="I269" s="17"/>
    </row>
    <row r="270">
      <c r="G270" s="17"/>
      <c r="I270" s="17"/>
    </row>
    <row r="271">
      <c r="G271" s="17"/>
      <c r="I271" s="17"/>
    </row>
    <row r="272">
      <c r="G272" s="17"/>
      <c r="I272" s="17"/>
    </row>
    <row r="273">
      <c r="G273" s="17"/>
      <c r="I273" s="17"/>
    </row>
    <row r="274">
      <c r="G274" s="17"/>
      <c r="I274" s="17"/>
    </row>
    <row r="275">
      <c r="G275" s="17"/>
      <c r="I275" s="17"/>
    </row>
    <row r="276">
      <c r="G276" s="17"/>
      <c r="I276" s="17"/>
    </row>
    <row r="277">
      <c r="G277" s="17"/>
      <c r="I277" s="17"/>
    </row>
    <row r="278">
      <c r="G278" s="17"/>
      <c r="I278" s="17"/>
    </row>
    <row r="279">
      <c r="G279" s="17"/>
      <c r="I279" s="17"/>
    </row>
    <row r="280">
      <c r="G280" s="17"/>
      <c r="I280" s="17"/>
    </row>
    <row r="281">
      <c r="G281" s="17"/>
      <c r="I281" s="17"/>
    </row>
    <row r="282">
      <c r="G282" s="17"/>
      <c r="I282" s="17"/>
    </row>
    <row r="283">
      <c r="G283" s="17"/>
      <c r="I283" s="17"/>
    </row>
    <row r="284">
      <c r="G284" s="17"/>
      <c r="I284" s="17"/>
    </row>
    <row r="285">
      <c r="G285" s="17"/>
      <c r="I285" s="17"/>
    </row>
    <row r="286">
      <c r="G286" s="17"/>
      <c r="I286" s="17"/>
    </row>
    <row r="287">
      <c r="G287" s="17"/>
      <c r="I287" s="17"/>
    </row>
    <row r="288">
      <c r="G288" s="17"/>
      <c r="I288" s="17"/>
    </row>
    <row r="289">
      <c r="G289" s="17"/>
      <c r="I289" s="17"/>
    </row>
    <row r="290">
      <c r="G290" s="17"/>
      <c r="I290" s="17"/>
    </row>
    <row r="291">
      <c r="G291" s="17"/>
      <c r="I291" s="17"/>
    </row>
    <row r="292">
      <c r="G292" s="17"/>
      <c r="I292" s="17"/>
    </row>
    <row r="293">
      <c r="G293" s="17"/>
      <c r="I293" s="17"/>
    </row>
    <row r="294">
      <c r="G294" s="17"/>
      <c r="I294" s="17"/>
    </row>
    <row r="295">
      <c r="G295" s="17"/>
      <c r="I295" s="17"/>
    </row>
    <row r="296">
      <c r="G296" s="17"/>
      <c r="I296" s="17"/>
    </row>
    <row r="297">
      <c r="G297" s="17"/>
      <c r="I297" s="17"/>
    </row>
    <row r="298">
      <c r="G298" s="17"/>
      <c r="I298" s="17"/>
    </row>
    <row r="299">
      <c r="G299" s="17"/>
      <c r="I299" s="17"/>
    </row>
    <row r="300">
      <c r="G300" s="17"/>
      <c r="I300" s="17"/>
    </row>
    <row r="301">
      <c r="G301" s="17"/>
      <c r="I301" s="17"/>
    </row>
    <row r="302">
      <c r="G302" s="17"/>
      <c r="I302" s="17"/>
    </row>
    <row r="303">
      <c r="G303" s="17"/>
      <c r="I303" s="17"/>
    </row>
    <row r="304">
      <c r="G304" s="17"/>
      <c r="I304" s="17"/>
    </row>
    <row r="305">
      <c r="G305" s="17"/>
      <c r="I305" s="17"/>
    </row>
    <row r="306">
      <c r="G306" s="17"/>
      <c r="I306" s="17"/>
    </row>
    <row r="307">
      <c r="G307" s="17"/>
      <c r="I307" s="17"/>
    </row>
    <row r="308">
      <c r="G308" s="17"/>
      <c r="I308" s="17"/>
    </row>
    <row r="309">
      <c r="G309" s="17"/>
      <c r="I309" s="17"/>
    </row>
    <row r="310">
      <c r="G310" s="17"/>
      <c r="I310" s="17"/>
    </row>
    <row r="311">
      <c r="G311" s="17"/>
      <c r="I311" s="17"/>
    </row>
    <row r="312">
      <c r="G312" s="17"/>
      <c r="I312" s="17"/>
    </row>
    <row r="313">
      <c r="G313" s="17"/>
      <c r="I313" s="17"/>
    </row>
    <row r="314">
      <c r="G314" s="17"/>
      <c r="I314" s="17"/>
    </row>
    <row r="315">
      <c r="G315" s="17"/>
      <c r="I315" s="17"/>
    </row>
    <row r="316">
      <c r="G316" s="17"/>
      <c r="I316" s="17"/>
    </row>
    <row r="317">
      <c r="G317" s="17"/>
      <c r="I317" s="17"/>
    </row>
    <row r="318">
      <c r="G318" s="17"/>
      <c r="I318" s="17"/>
    </row>
    <row r="319">
      <c r="G319" s="17"/>
      <c r="I319" s="17"/>
    </row>
    <row r="320">
      <c r="G320" s="17"/>
      <c r="I320" s="17"/>
    </row>
    <row r="321">
      <c r="G321" s="17"/>
      <c r="I321" s="17"/>
    </row>
    <row r="322">
      <c r="G322" s="17"/>
      <c r="I322" s="17"/>
    </row>
    <row r="323">
      <c r="G323" s="17"/>
      <c r="I323" s="17"/>
    </row>
    <row r="324">
      <c r="G324" s="17"/>
      <c r="I324" s="17"/>
    </row>
    <row r="325">
      <c r="G325" s="17"/>
      <c r="I325" s="17"/>
    </row>
    <row r="326">
      <c r="G326" s="17"/>
      <c r="I326" s="17"/>
    </row>
    <row r="327">
      <c r="G327" s="17"/>
      <c r="I327" s="17"/>
    </row>
    <row r="328">
      <c r="G328" s="17"/>
      <c r="I328" s="17"/>
    </row>
    <row r="329">
      <c r="G329" s="17"/>
      <c r="I329" s="17"/>
    </row>
    <row r="330">
      <c r="G330" s="17"/>
      <c r="I330" s="17"/>
    </row>
    <row r="331">
      <c r="G331" s="17"/>
      <c r="I331" s="17"/>
    </row>
    <row r="332">
      <c r="G332" s="17"/>
      <c r="I332" s="17"/>
    </row>
    <row r="333">
      <c r="G333" s="17"/>
      <c r="I333" s="17"/>
    </row>
    <row r="334">
      <c r="G334" s="17"/>
      <c r="I334" s="17"/>
    </row>
    <row r="335">
      <c r="G335" s="17"/>
      <c r="I335" s="17"/>
    </row>
    <row r="336">
      <c r="G336" s="17"/>
      <c r="I336" s="17"/>
    </row>
    <row r="337">
      <c r="G337" s="17"/>
      <c r="I337" s="17"/>
    </row>
    <row r="338">
      <c r="G338" s="17"/>
      <c r="I338" s="17"/>
    </row>
    <row r="339">
      <c r="G339" s="17"/>
      <c r="I339" s="17"/>
    </row>
    <row r="340">
      <c r="G340" s="17"/>
      <c r="I340" s="17"/>
    </row>
    <row r="341">
      <c r="G341" s="17"/>
      <c r="I341" s="17"/>
    </row>
    <row r="342">
      <c r="G342" s="17"/>
      <c r="I342" s="17"/>
    </row>
    <row r="343">
      <c r="G343" s="17"/>
      <c r="I343" s="17"/>
    </row>
    <row r="344">
      <c r="G344" s="17"/>
      <c r="I344" s="17"/>
    </row>
    <row r="345">
      <c r="G345" s="17"/>
      <c r="I345" s="17"/>
    </row>
    <row r="346">
      <c r="G346" s="17"/>
      <c r="I346" s="17"/>
    </row>
    <row r="347">
      <c r="G347" s="17"/>
      <c r="I347" s="17"/>
    </row>
    <row r="348">
      <c r="G348" s="17"/>
      <c r="I348" s="17"/>
    </row>
    <row r="349">
      <c r="G349" s="17"/>
      <c r="I349" s="17"/>
    </row>
    <row r="350">
      <c r="G350" s="17"/>
      <c r="I350" s="17"/>
    </row>
    <row r="351">
      <c r="G351" s="17"/>
      <c r="I351" s="17"/>
    </row>
    <row r="352">
      <c r="G352" s="17"/>
      <c r="I352" s="17"/>
    </row>
    <row r="353">
      <c r="G353" s="17"/>
      <c r="I353" s="17"/>
    </row>
    <row r="354">
      <c r="G354" s="17"/>
      <c r="I354" s="17"/>
    </row>
    <row r="355">
      <c r="G355" s="17"/>
      <c r="I355" s="17"/>
    </row>
    <row r="356">
      <c r="G356" s="17"/>
      <c r="I356" s="17"/>
    </row>
    <row r="357">
      <c r="G357" s="17"/>
      <c r="I357" s="17"/>
    </row>
    <row r="358">
      <c r="G358" s="17"/>
      <c r="I358" s="17"/>
    </row>
    <row r="359">
      <c r="G359" s="17"/>
      <c r="I359" s="17"/>
    </row>
    <row r="360">
      <c r="G360" s="17"/>
      <c r="I360" s="17"/>
    </row>
    <row r="361">
      <c r="G361" s="17"/>
      <c r="I361" s="17"/>
    </row>
    <row r="362">
      <c r="G362" s="17"/>
      <c r="I362" s="17"/>
    </row>
    <row r="363">
      <c r="G363" s="17"/>
      <c r="I363" s="17"/>
    </row>
    <row r="364">
      <c r="G364" s="17"/>
      <c r="I364" s="17"/>
    </row>
    <row r="365">
      <c r="G365" s="17"/>
      <c r="I365" s="17"/>
    </row>
    <row r="366">
      <c r="G366" s="17"/>
      <c r="I366" s="17"/>
    </row>
    <row r="367">
      <c r="G367" s="17"/>
      <c r="I367" s="17"/>
    </row>
    <row r="368">
      <c r="G368" s="17"/>
      <c r="I368" s="17"/>
    </row>
    <row r="369">
      <c r="G369" s="17"/>
      <c r="I369" s="17"/>
    </row>
    <row r="370">
      <c r="G370" s="17"/>
      <c r="I370" s="17"/>
    </row>
    <row r="371">
      <c r="G371" s="17"/>
      <c r="I371" s="17"/>
    </row>
    <row r="372">
      <c r="G372" s="17"/>
      <c r="I372" s="17"/>
    </row>
    <row r="373">
      <c r="G373" s="17"/>
      <c r="I373" s="17"/>
    </row>
    <row r="374">
      <c r="G374" s="17"/>
      <c r="I374" s="17"/>
    </row>
    <row r="375">
      <c r="G375" s="17"/>
      <c r="I375" s="17"/>
    </row>
    <row r="376">
      <c r="G376" s="17"/>
      <c r="I376" s="17"/>
    </row>
    <row r="377">
      <c r="G377" s="17"/>
      <c r="I377" s="17"/>
    </row>
    <row r="378">
      <c r="G378" s="17"/>
      <c r="I378" s="17"/>
    </row>
    <row r="379">
      <c r="G379" s="17"/>
      <c r="I379" s="17"/>
    </row>
    <row r="380">
      <c r="G380" s="17"/>
      <c r="I380" s="17"/>
    </row>
    <row r="381">
      <c r="G381" s="17"/>
      <c r="I381" s="17"/>
    </row>
    <row r="382">
      <c r="G382" s="17"/>
      <c r="I382" s="17"/>
    </row>
    <row r="383">
      <c r="G383" s="17"/>
      <c r="I383" s="17"/>
    </row>
    <row r="384">
      <c r="G384" s="17"/>
      <c r="I384" s="17"/>
    </row>
    <row r="385">
      <c r="G385" s="17"/>
      <c r="I385" s="17"/>
    </row>
    <row r="386">
      <c r="G386" s="17"/>
      <c r="I386" s="17"/>
    </row>
    <row r="387">
      <c r="G387" s="17"/>
      <c r="I387" s="17"/>
    </row>
    <row r="388">
      <c r="G388" s="17"/>
      <c r="I388" s="17"/>
    </row>
    <row r="389">
      <c r="G389" s="17"/>
      <c r="I389" s="17"/>
    </row>
    <row r="390">
      <c r="G390" s="17"/>
      <c r="I390" s="17"/>
    </row>
    <row r="391">
      <c r="G391" s="17"/>
      <c r="I391" s="17"/>
    </row>
    <row r="392">
      <c r="G392" s="17"/>
      <c r="I392" s="17"/>
    </row>
    <row r="393">
      <c r="G393" s="17"/>
      <c r="I393" s="17"/>
    </row>
    <row r="394">
      <c r="G394" s="17"/>
      <c r="I394" s="17"/>
    </row>
    <row r="395">
      <c r="G395" s="17"/>
      <c r="I395" s="17"/>
    </row>
    <row r="396">
      <c r="G396" s="17"/>
      <c r="I396" s="17"/>
    </row>
    <row r="397">
      <c r="G397" s="17"/>
      <c r="I397" s="17"/>
    </row>
    <row r="398">
      <c r="G398" s="17"/>
      <c r="I398" s="17"/>
    </row>
    <row r="399">
      <c r="G399" s="17"/>
      <c r="I399" s="17"/>
    </row>
    <row r="400">
      <c r="G400" s="17"/>
      <c r="I400" s="17"/>
    </row>
    <row r="401">
      <c r="G401" s="17"/>
      <c r="I401" s="17"/>
    </row>
    <row r="402">
      <c r="G402" s="17"/>
      <c r="I402" s="17"/>
    </row>
    <row r="403">
      <c r="G403" s="17"/>
      <c r="I403" s="17"/>
    </row>
    <row r="404">
      <c r="G404" s="17"/>
      <c r="I404" s="17"/>
    </row>
    <row r="405">
      <c r="G405" s="17"/>
      <c r="I405" s="17"/>
    </row>
    <row r="406">
      <c r="G406" s="17"/>
      <c r="I406" s="17"/>
    </row>
    <row r="407">
      <c r="G407" s="17"/>
      <c r="I407" s="17"/>
    </row>
    <row r="408">
      <c r="G408" s="17"/>
      <c r="I408" s="17"/>
    </row>
    <row r="409">
      <c r="G409" s="17"/>
      <c r="I409" s="17"/>
    </row>
    <row r="410">
      <c r="G410" s="17"/>
      <c r="I410" s="17"/>
    </row>
    <row r="411">
      <c r="G411" s="17"/>
      <c r="I411" s="17"/>
    </row>
    <row r="412">
      <c r="G412" s="17"/>
      <c r="I412" s="17"/>
    </row>
    <row r="413">
      <c r="G413" s="17"/>
      <c r="I413" s="17"/>
    </row>
    <row r="414">
      <c r="G414" s="17"/>
      <c r="I414" s="17"/>
    </row>
    <row r="415">
      <c r="G415" s="17"/>
      <c r="I415" s="17"/>
    </row>
    <row r="416">
      <c r="G416" s="17"/>
      <c r="I416" s="17"/>
    </row>
    <row r="417">
      <c r="G417" s="17"/>
      <c r="I417" s="17"/>
    </row>
    <row r="418">
      <c r="G418" s="17"/>
      <c r="I418" s="17"/>
    </row>
    <row r="419">
      <c r="G419" s="17"/>
      <c r="I419" s="17"/>
    </row>
    <row r="420">
      <c r="G420" s="17"/>
      <c r="I420" s="17"/>
    </row>
    <row r="421">
      <c r="G421" s="17"/>
      <c r="I421" s="17"/>
    </row>
    <row r="422">
      <c r="G422" s="17"/>
      <c r="I422" s="17"/>
    </row>
    <row r="423">
      <c r="G423" s="17"/>
      <c r="I423" s="17"/>
    </row>
    <row r="424">
      <c r="G424" s="17"/>
      <c r="I424" s="17"/>
    </row>
    <row r="425">
      <c r="G425" s="17"/>
      <c r="I425" s="17"/>
    </row>
    <row r="426">
      <c r="G426" s="17"/>
      <c r="I426" s="17"/>
    </row>
    <row r="427">
      <c r="G427" s="17"/>
      <c r="I427" s="17"/>
    </row>
    <row r="428">
      <c r="G428" s="17"/>
      <c r="I428" s="17"/>
    </row>
    <row r="429">
      <c r="G429" s="17"/>
      <c r="I429" s="17"/>
    </row>
    <row r="430">
      <c r="G430" s="17"/>
      <c r="I430" s="17"/>
    </row>
    <row r="431">
      <c r="G431" s="17"/>
      <c r="I431" s="17"/>
    </row>
    <row r="432">
      <c r="G432" s="17"/>
      <c r="I432" s="17"/>
    </row>
    <row r="433">
      <c r="G433" s="17"/>
      <c r="I433" s="17"/>
    </row>
    <row r="434">
      <c r="G434" s="17"/>
      <c r="I434" s="17"/>
    </row>
    <row r="435">
      <c r="G435" s="17"/>
      <c r="I435" s="17"/>
    </row>
    <row r="436">
      <c r="G436" s="17"/>
      <c r="I436" s="17"/>
    </row>
    <row r="437">
      <c r="G437" s="17"/>
      <c r="I437" s="17"/>
    </row>
    <row r="438">
      <c r="G438" s="17"/>
      <c r="I438" s="17"/>
    </row>
    <row r="439">
      <c r="G439" s="17"/>
      <c r="I439" s="17"/>
    </row>
    <row r="440">
      <c r="G440" s="17"/>
      <c r="I440" s="17"/>
    </row>
    <row r="441">
      <c r="G441" s="17"/>
      <c r="I441" s="17"/>
    </row>
    <row r="442">
      <c r="G442" s="17"/>
      <c r="I442" s="17"/>
    </row>
    <row r="443">
      <c r="G443" s="17"/>
      <c r="I443" s="17"/>
    </row>
    <row r="444">
      <c r="G444" s="17"/>
      <c r="I444" s="17"/>
    </row>
    <row r="445">
      <c r="G445" s="17"/>
      <c r="I445" s="17"/>
    </row>
    <row r="446">
      <c r="G446" s="17"/>
      <c r="I446" s="17"/>
    </row>
    <row r="447">
      <c r="G447" s="17"/>
      <c r="I447" s="17"/>
    </row>
    <row r="448">
      <c r="G448" s="17"/>
      <c r="I448" s="17"/>
    </row>
    <row r="449">
      <c r="G449" s="17"/>
      <c r="I449" s="17"/>
    </row>
    <row r="450">
      <c r="G450" s="17"/>
      <c r="I450" s="17"/>
    </row>
    <row r="451">
      <c r="G451" s="17"/>
      <c r="I451" s="17"/>
    </row>
    <row r="452">
      <c r="G452" s="17"/>
      <c r="I452" s="17"/>
    </row>
    <row r="453">
      <c r="G453" s="17"/>
      <c r="I453" s="17"/>
    </row>
    <row r="454">
      <c r="G454" s="17"/>
      <c r="I454" s="17"/>
    </row>
    <row r="455">
      <c r="G455" s="17"/>
      <c r="I455" s="17"/>
    </row>
    <row r="456">
      <c r="G456" s="17"/>
      <c r="I456" s="17"/>
    </row>
    <row r="457">
      <c r="G457" s="17"/>
      <c r="I457" s="17"/>
    </row>
    <row r="458">
      <c r="G458" s="17"/>
      <c r="I458" s="17"/>
    </row>
    <row r="459">
      <c r="G459" s="17"/>
      <c r="I459" s="17"/>
    </row>
    <row r="460">
      <c r="G460" s="17"/>
      <c r="I460" s="17"/>
    </row>
    <row r="461">
      <c r="G461" s="17"/>
      <c r="I461" s="17"/>
    </row>
    <row r="462">
      <c r="G462" s="17"/>
      <c r="I462" s="17"/>
    </row>
    <row r="463">
      <c r="G463" s="17"/>
      <c r="I463" s="17"/>
    </row>
    <row r="464">
      <c r="G464" s="17"/>
      <c r="I464" s="17"/>
    </row>
    <row r="465">
      <c r="G465" s="17"/>
      <c r="I465" s="17"/>
    </row>
    <row r="466">
      <c r="G466" s="17"/>
      <c r="I466" s="17"/>
    </row>
    <row r="467">
      <c r="G467" s="17"/>
      <c r="I467" s="17"/>
    </row>
    <row r="468">
      <c r="G468" s="17"/>
      <c r="I468" s="17"/>
    </row>
    <row r="469">
      <c r="G469" s="17"/>
      <c r="I469" s="17"/>
    </row>
    <row r="470">
      <c r="G470" s="17"/>
      <c r="I470" s="17"/>
    </row>
    <row r="471">
      <c r="G471" s="17"/>
      <c r="I471" s="17"/>
    </row>
    <row r="472">
      <c r="G472" s="17"/>
      <c r="I472" s="17"/>
    </row>
    <row r="473">
      <c r="G473" s="17"/>
      <c r="I473" s="17"/>
    </row>
    <row r="474">
      <c r="G474" s="17"/>
      <c r="I474" s="17"/>
    </row>
    <row r="475">
      <c r="G475" s="17"/>
      <c r="I475" s="17"/>
    </row>
    <row r="476">
      <c r="G476" s="17"/>
      <c r="I476" s="17"/>
    </row>
    <row r="477">
      <c r="G477" s="17"/>
      <c r="I477" s="17"/>
    </row>
    <row r="478">
      <c r="G478" s="17"/>
      <c r="I478" s="17"/>
    </row>
    <row r="479">
      <c r="G479" s="17"/>
      <c r="I479" s="17"/>
    </row>
    <row r="480">
      <c r="G480" s="17"/>
      <c r="I480" s="17"/>
    </row>
    <row r="481">
      <c r="G481" s="17"/>
      <c r="I481" s="17"/>
    </row>
    <row r="482">
      <c r="G482" s="17"/>
      <c r="I482" s="17"/>
    </row>
    <row r="483">
      <c r="G483" s="17"/>
      <c r="I483" s="17"/>
    </row>
    <row r="484">
      <c r="G484" s="17"/>
      <c r="I484" s="17"/>
    </row>
    <row r="485">
      <c r="G485" s="17"/>
      <c r="I485" s="17"/>
    </row>
    <row r="486">
      <c r="G486" s="17"/>
      <c r="I486" s="17"/>
    </row>
    <row r="487">
      <c r="G487" s="17"/>
      <c r="I487" s="17"/>
    </row>
    <row r="488">
      <c r="G488" s="17"/>
      <c r="I488" s="17"/>
    </row>
    <row r="489">
      <c r="G489" s="17"/>
      <c r="I489" s="17"/>
    </row>
    <row r="490">
      <c r="G490" s="17"/>
      <c r="I490" s="17"/>
    </row>
    <row r="491">
      <c r="G491" s="17"/>
      <c r="I491" s="17"/>
    </row>
    <row r="492">
      <c r="G492" s="17"/>
      <c r="I492" s="17"/>
    </row>
    <row r="493">
      <c r="G493" s="17"/>
      <c r="I493" s="17"/>
    </row>
    <row r="494">
      <c r="G494" s="17"/>
      <c r="I494" s="17"/>
    </row>
    <row r="495">
      <c r="G495" s="17"/>
      <c r="I495" s="17"/>
    </row>
    <row r="496">
      <c r="G496" s="17"/>
      <c r="I496" s="17"/>
    </row>
    <row r="497">
      <c r="G497" s="17"/>
      <c r="I497" s="17"/>
    </row>
    <row r="498">
      <c r="G498" s="17"/>
      <c r="I498" s="17"/>
    </row>
    <row r="499">
      <c r="G499" s="17"/>
      <c r="I499" s="17"/>
    </row>
    <row r="500">
      <c r="G500" s="17"/>
      <c r="I500" s="17"/>
    </row>
    <row r="501">
      <c r="G501" s="17"/>
      <c r="I501" s="17"/>
    </row>
    <row r="502">
      <c r="G502" s="17"/>
      <c r="I502" s="17"/>
    </row>
    <row r="503">
      <c r="G503" s="17"/>
      <c r="I503" s="17"/>
    </row>
    <row r="504">
      <c r="G504" s="17"/>
      <c r="I504" s="17"/>
    </row>
    <row r="505">
      <c r="G505" s="17"/>
      <c r="I505" s="17"/>
    </row>
    <row r="506">
      <c r="G506" s="17"/>
      <c r="I506" s="17"/>
    </row>
    <row r="507">
      <c r="G507" s="17"/>
      <c r="I507" s="17"/>
    </row>
    <row r="508">
      <c r="G508" s="17"/>
      <c r="I508" s="17"/>
    </row>
    <row r="509">
      <c r="G509" s="17"/>
      <c r="I509" s="17"/>
    </row>
    <row r="510">
      <c r="G510" s="17"/>
      <c r="I510" s="17"/>
    </row>
    <row r="511">
      <c r="G511" s="17"/>
      <c r="I511" s="17"/>
    </row>
    <row r="512">
      <c r="G512" s="17"/>
      <c r="I512" s="17"/>
    </row>
    <row r="513">
      <c r="G513" s="17"/>
      <c r="I513" s="17"/>
    </row>
    <row r="514">
      <c r="G514" s="17"/>
      <c r="I514" s="17"/>
    </row>
    <row r="515">
      <c r="G515" s="17"/>
      <c r="I515" s="17"/>
    </row>
    <row r="516">
      <c r="G516" s="17"/>
      <c r="I516" s="17"/>
    </row>
    <row r="517">
      <c r="G517" s="17"/>
      <c r="I517" s="17"/>
    </row>
    <row r="518">
      <c r="G518" s="17"/>
      <c r="I518" s="17"/>
    </row>
    <row r="519">
      <c r="G519" s="17"/>
      <c r="I519" s="17"/>
    </row>
    <row r="520">
      <c r="G520" s="17"/>
      <c r="I520" s="17"/>
    </row>
    <row r="521">
      <c r="G521" s="17"/>
      <c r="I521" s="17"/>
    </row>
    <row r="522">
      <c r="G522" s="17"/>
      <c r="I522" s="17"/>
    </row>
    <row r="523">
      <c r="G523" s="17"/>
      <c r="I523" s="17"/>
    </row>
    <row r="524">
      <c r="G524" s="17"/>
      <c r="I524" s="17"/>
    </row>
    <row r="525">
      <c r="G525" s="17"/>
      <c r="I525" s="17"/>
    </row>
    <row r="526">
      <c r="G526" s="17"/>
      <c r="I526" s="17"/>
    </row>
    <row r="527">
      <c r="G527" s="17"/>
      <c r="I527" s="17"/>
    </row>
    <row r="528">
      <c r="G528" s="17"/>
      <c r="I528" s="17"/>
    </row>
    <row r="529">
      <c r="G529" s="17"/>
      <c r="I529" s="17"/>
    </row>
    <row r="530">
      <c r="G530" s="17"/>
      <c r="I530" s="17"/>
    </row>
    <row r="531">
      <c r="G531" s="17"/>
      <c r="I531" s="17"/>
    </row>
    <row r="532">
      <c r="G532" s="17"/>
      <c r="I532" s="17"/>
    </row>
    <row r="533">
      <c r="G533" s="17"/>
      <c r="I533" s="17"/>
    </row>
    <row r="534">
      <c r="G534" s="17"/>
      <c r="I534" s="17"/>
    </row>
    <row r="535">
      <c r="G535" s="17"/>
      <c r="I535" s="17"/>
    </row>
    <row r="536">
      <c r="G536" s="17"/>
      <c r="I536" s="17"/>
    </row>
    <row r="537">
      <c r="G537" s="17"/>
      <c r="I537" s="17"/>
    </row>
    <row r="538">
      <c r="G538" s="17"/>
      <c r="I538" s="17"/>
    </row>
    <row r="539">
      <c r="G539" s="17"/>
      <c r="I539" s="17"/>
    </row>
    <row r="540">
      <c r="G540" s="17"/>
      <c r="I540" s="17"/>
    </row>
    <row r="541">
      <c r="G541" s="17"/>
      <c r="I541" s="17"/>
    </row>
    <row r="542">
      <c r="G542" s="17"/>
      <c r="I542" s="17"/>
    </row>
    <row r="543">
      <c r="G543" s="17"/>
      <c r="I543" s="17"/>
    </row>
    <row r="544">
      <c r="G544" s="17"/>
      <c r="I544" s="17"/>
    </row>
    <row r="545">
      <c r="G545" s="17"/>
      <c r="I545" s="17"/>
    </row>
    <row r="546">
      <c r="G546" s="17"/>
      <c r="I546" s="17"/>
    </row>
    <row r="547">
      <c r="G547" s="17"/>
      <c r="I547" s="17"/>
    </row>
    <row r="548">
      <c r="G548" s="17"/>
      <c r="I548" s="17"/>
    </row>
    <row r="549">
      <c r="G549" s="17"/>
      <c r="I549" s="17"/>
    </row>
    <row r="550">
      <c r="G550" s="17"/>
      <c r="I550" s="17"/>
    </row>
    <row r="551">
      <c r="G551" s="17"/>
      <c r="I551" s="17"/>
    </row>
    <row r="552">
      <c r="G552" s="17"/>
      <c r="I552" s="17"/>
    </row>
    <row r="553">
      <c r="G553" s="17"/>
      <c r="I553" s="17"/>
    </row>
    <row r="554">
      <c r="G554" s="17"/>
      <c r="I554" s="17"/>
    </row>
    <row r="555">
      <c r="G555" s="17"/>
      <c r="I555" s="17"/>
    </row>
    <row r="556">
      <c r="G556" s="17"/>
      <c r="I556" s="17"/>
    </row>
    <row r="557">
      <c r="G557" s="17"/>
      <c r="I557" s="17"/>
    </row>
    <row r="558">
      <c r="G558" s="17"/>
      <c r="I558" s="17"/>
    </row>
    <row r="559">
      <c r="G559" s="17"/>
      <c r="I559" s="17"/>
    </row>
    <row r="560">
      <c r="G560" s="17"/>
      <c r="I560" s="17"/>
    </row>
    <row r="561">
      <c r="G561" s="17"/>
      <c r="I561" s="17"/>
    </row>
    <row r="562">
      <c r="G562" s="17"/>
      <c r="I562" s="17"/>
    </row>
    <row r="563">
      <c r="G563" s="17"/>
      <c r="I563" s="17"/>
    </row>
    <row r="564">
      <c r="G564" s="17"/>
      <c r="I564" s="17"/>
    </row>
    <row r="565">
      <c r="G565" s="17"/>
      <c r="I565" s="17"/>
    </row>
    <row r="566">
      <c r="G566" s="17"/>
      <c r="I566" s="17"/>
    </row>
    <row r="567">
      <c r="G567" s="17"/>
      <c r="I567" s="17"/>
    </row>
    <row r="568">
      <c r="G568" s="17"/>
      <c r="I568" s="17"/>
    </row>
    <row r="569">
      <c r="G569" s="17"/>
      <c r="I569" s="17"/>
    </row>
    <row r="570">
      <c r="G570" s="17"/>
      <c r="I570" s="17"/>
    </row>
    <row r="571">
      <c r="G571" s="17"/>
      <c r="I571" s="17"/>
    </row>
    <row r="572">
      <c r="G572" s="17"/>
      <c r="I572" s="17"/>
    </row>
    <row r="573">
      <c r="G573" s="17"/>
      <c r="I573" s="17"/>
    </row>
    <row r="574">
      <c r="G574" s="17"/>
      <c r="I574" s="17"/>
    </row>
    <row r="575">
      <c r="G575" s="17"/>
      <c r="I575" s="17"/>
    </row>
    <row r="576">
      <c r="G576" s="17"/>
      <c r="I576" s="17"/>
    </row>
    <row r="577">
      <c r="G577" s="17"/>
      <c r="I577" s="17"/>
    </row>
    <row r="578">
      <c r="G578" s="17"/>
      <c r="I578" s="17"/>
    </row>
    <row r="579">
      <c r="G579" s="17"/>
      <c r="I579" s="17"/>
    </row>
    <row r="580">
      <c r="G580" s="17"/>
      <c r="I580" s="17"/>
    </row>
    <row r="581">
      <c r="G581" s="17"/>
      <c r="I581" s="17"/>
    </row>
    <row r="582">
      <c r="G582" s="17"/>
      <c r="I582" s="17"/>
    </row>
    <row r="583">
      <c r="G583" s="17"/>
      <c r="I583" s="17"/>
    </row>
    <row r="584">
      <c r="G584" s="17"/>
      <c r="I584" s="17"/>
    </row>
    <row r="585">
      <c r="G585" s="17"/>
      <c r="I585" s="17"/>
    </row>
    <row r="586">
      <c r="G586" s="17"/>
      <c r="I586" s="17"/>
    </row>
    <row r="587">
      <c r="G587" s="17"/>
      <c r="I587" s="17"/>
    </row>
    <row r="588">
      <c r="G588" s="17"/>
      <c r="I588" s="17"/>
    </row>
    <row r="589">
      <c r="G589" s="17"/>
      <c r="I589" s="17"/>
    </row>
    <row r="590">
      <c r="G590" s="17"/>
      <c r="I590" s="17"/>
    </row>
    <row r="591">
      <c r="G591" s="17"/>
      <c r="I591" s="17"/>
    </row>
    <row r="592">
      <c r="G592" s="17"/>
      <c r="I592" s="17"/>
    </row>
    <row r="593">
      <c r="G593" s="17"/>
      <c r="I593" s="17"/>
    </row>
    <row r="594">
      <c r="G594" s="17"/>
      <c r="I594" s="17"/>
    </row>
    <row r="595">
      <c r="G595" s="17"/>
      <c r="I595" s="17"/>
    </row>
    <row r="596">
      <c r="G596" s="17"/>
      <c r="I596" s="17"/>
    </row>
    <row r="597">
      <c r="G597" s="17"/>
      <c r="I597" s="17"/>
    </row>
    <row r="598">
      <c r="G598" s="17"/>
      <c r="I598" s="17"/>
    </row>
    <row r="599">
      <c r="G599" s="17"/>
      <c r="I599" s="17"/>
    </row>
    <row r="600">
      <c r="G600" s="17"/>
      <c r="I600" s="17"/>
    </row>
    <row r="601">
      <c r="G601" s="17"/>
      <c r="I601" s="17"/>
    </row>
    <row r="602">
      <c r="G602" s="17"/>
      <c r="I602" s="17"/>
    </row>
    <row r="603">
      <c r="G603" s="17"/>
      <c r="I603" s="17"/>
    </row>
    <row r="604">
      <c r="G604" s="17"/>
      <c r="I604" s="17"/>
    </row>
    <row r="605">
      <c r="G605" s="17"/>
      <c r="I605" s="17"/>
    </row>
    <row r="606">
      <c r="G606" s="17"/>
      <c r="I606" s="17"/>
    </row>
    <row r="607">
      <c r="G607" s="17"/>
      <c r="I607" s="17"/>
    </row>
    <row r="608">
      <c r="G608" s="17"/>
      <c r="I608" s="17"/>
    </row>
    <row r="609">
      <c r="G609" s="17"/>
      <c r="I609" s="17"/>
    </row>
    <row r="610">
      <c r="G610" s="17"/>
      <c r="I610" s="17"/>
    </row>
    <row r="611">
      <c r="G611" s="17"/>
      <c r="I611" s="17"/>
    </row>
    <row r="612">
      <c r="G612" s="17"/>
      <c r="I612" s="17"/>
    </row>
    <row r="613">
      <c r="G613" s="17"/>
      <c r="I613" s="17"/>
    </row>
    <row r="614">
      <c r="G614" s="17"/>
      <c r="I614" s="17"/>
    </row>
    <row r="615">
      <c r="G615" s="17"/>
      <c r="I615" s="17"/>
    </row>
    <row r="616">
      <c r="G616" s="17"/>
      <c r="I616" s="17"/>
    </row>
    <row r="617">
      <c r="G617" s="17"/>
      <c r="I617" s="17"/>
    </row>
    <row r="618">
      <c r="G618" s="17"/>
      <c r="I618" s="17"/>
    </row>
    <row r="619">
      <c r="G619" s="17"/>
      <c r="I619" s="17"/>
    </row>
    <row r="620">
      <c r="G620" s="17"/>
      <c r="I620" s="17"/>
    </row>
    <row r="621">
      <c r="G621" s="17"/>
      <c r="I621" s="17"/>
    </row>
    <row r="622">
      <c r="G622" s="17"/>
      <c r="I622" s="17"/>
    </row>
    <row r="623">
      <c r="G623" s="17"/>
      <c r="I623" s="17"/>
    </row>
    <row r="624">
      <c r="G624" s="17"/>
      <c r="I624" s="17"/>
    </row>
    <row r="625">
      <c r="G625" s="17"/>
      <c r="I625" s="17"/>
    </row>
    <row r="626">
      <c r="G626" s="17"/>
      <c r="I626" s="17"/>
    </row>
    <row r="627">
      <c r="G627" s="17"/>
      <c r="I627" s="17"/>
    </row>
    <row r="628">
      <c r="G628" s="17"/>
      <c r="I628" s="17"/>
    </row>
    <row r="629">
      <c r="G629" s="17"/>
      <c r="I629" s="17"/>
    </row>
    <row r="630">
      <c r="G630" s="17"/>
      <c r="I630" s="17"/>
    </row>
    <row r="631">
      <c r="G631" s="17"/>
      <c r="I631" s="17"/>
    </row>
    <row r="632">
      <c r="G632" s="17"/>
      <c r="I632" s="17"/>
    </row>
    <row r="633">
      <c r="G633" s="17"/>
      <c r="I633" s="17"/>
    </row>
    <row r="634">
      <c r="G634" s="17"/>
      <c r="I634" s="17"/>
    </row>
    <row r="635">
      <c r="G635" s="17"/>
      <c r="I635" s="17"/>
    </row>
    <row r="636">
      <c r="G636" s="17"/>
      <c r="I636" s="17"/>
    </row>
    <row r="637">
      <c r="G637" s="17"/>
      <c r="I637" s="17"/>
    </row>
    <row r="638">
      <c r="G638" s="17"/>
      <c r="I638" s="17"/>
    </row>
    <row r="639">
      <c r="G639" s="17"/>
      <c r="I639" s="17"/>
    </row>
    <row r="640">
      <c r="G640" s="17"/>
      <c r="I640" s="17"/>
    </row>
    <row r="641">
      <c r="G641" s="17"/>
      <c r="I641" s="17"/>
    </row>
    <row r="642">
      <c r="G642" s="17"/>
      <c r="I642" s="17"/>
    </row>
    <row r="643">
      <c r="G643" s="17"/>
      <c r="I643" s="17"/>
    </row>
    <row r="644">
      <c r="G644" s="17"/>
      <c r="I644" s="17"/>
    </row>
    <row r="645">
      <c r="G645" s="17"/>
      <c r="I645" s="17"/>
    </row>
    <row r="646">
      <c r="G646" s="17"/>
      <c r="I646" s="17"/>
    </row>
    <row r="647">
      <c r="G647" s="17"/>
      <c r="I647" s="17"/>
    </row>
    <row r="648">
      <c r="G648" s="17"/>
      <c r="I648" s="17"/>
    </row>
    <row r="649">
      <c r="G649" s="17"/>
      <c r="I649" s="17"/>
    </row>
    <row r="650">
      <c r="G650" s="17"/>
      <c r="I650" s="17"/>
    </row>
    <row r="651">
      <c r="G651" s="17"/>
      <c r="I651" s="17"/>
    </row>
    <row r="652">
      <c r="G652" s="17"/>
      <c r="I652" s="17"/>
    </row>
    <row r="653">
      <c r="G653" s="17"/>
      <c r="I653" s="17"/>
    </row>
    <row r="654">
      <c r="G654" s="17"/>
      <c r="I654" s="17"/>
    </row>
    <row r="655">
      <c r="G655" s="17"/>
      <c r="I655" s="17"/>
    </row>
    <row r="656">
      <c r="G656" s="17"/>
      <c r="I656" s="17"/>
    </row>
    <row r="657">
      <c r="G657" s="17"/>
      <c r="I657" s="17"/>
    </row>
    <row r="658">
      <c r="G658" s="17"/>
      <c r="I658" s="17"/>
    </row>
    <row r="659">
      <c r="G659" s="17"/>
      <c r="I659" s="17"/>
    </row>
    <row r="660">
      <c r="G660" s="17"/>
      <c r="I660" s="17"/>
    </row>
    <row r="661">
      <c r="G661" s="17"/>
      <c r="I661" s="17"/>
    </row>
    <row r="662">
      <c r="G662" s="17"/>
      <c r="I662" s="17"/>
    </row>
    <row r="663">
      <c r="G663" s="17"/>
      <c r="I663" s="17"/>
    </row>
    <row r="664">
      <c r="G664" s="17"/>
      <c r="I664" s="17"/>
    </row>
    <row r="665">
      <c r="G665" s="17"/>
      <c r="I665" s="17"/>
    </row>
    <row r="666">
      <c r="G666" s="17"/>
      <c r="I666" s="17"/>
    </row>
    <row r="667">
      <c r="G667" s="17"/>
      <c r="I667" s="17"/>
    </row>
    <row r="668">
      <c r="G668" s="17"/>
      <c r="I668" s="17"/>
    </row>
    <row r="669">
      <c r="G669" s="17"/>
      <c r="I669" s="17"/>
    </row>
    <row r="670">
      <c r="G670" s="17"/>
      <c r="I670" s="17"/>
    </row>
    <row r="671">
      <c r="G671" s="17"/>
      <c r="I671" s="17"/>
    </row>
    <row r="672">
      <c r="G672" s="17"/>
      <c r="I672" s="17"/>
    </row>
    <row r="673">
      <c r="G673" s="17"/>
      <c r="I673" s="17"/>
    </row>
    <row r="674">
      <c r="G674" s="17"/>
      <c r="I674" s="17"/>
    </row>
    <row r="675">
      <c r="G675" s="17"/>
      <c r="I675" s="17"/>
    </row>
    <row r="676">
      <c r="G676" s="17"/>
      <c r="I676" s="17"/>
    </row>
    <row r="677">
      <c r="G677" s="17"/>
      <c r="I677" s="17"/>
    </row>
    <row r="678">
      <c r="G678" s="17"/>
      <c r="I678" s="17"/>
    </row>
    <row r="679">
      <c r="G679" s="17"/>
      <c r="I679" s="17"/>
    </row>
    <row r="680">
      <c r="G680" s="17"/>
      <c r="I680" s="17"/>
    </row>
    <row r="681">
      <c r="G681" s="17"/>
      <c r="I681" s="17"/>
    </row>
    <row r="682">
      <c r="G682" s="17"/>
      <c r="I682" s="17"/>
    </row>
    <row r="683">
      <c r="G683" s="17"/>
      <c r="I683" s="17"/>
    </row>
    <row r="684">
      <c r="G684" s="17"/>
      <c r="I684" s="17"/>
    </row>
    <row r="685">
      <c r="G685" s="17"/>
      <c r="I685" s="17"/>
    </row>
    <row r="686">
      <c r="G686" s="17"/>
      <c r="I686" s="17"/>
    </row>
    <row r="687">
      <c r="G687" s="17"/>
      <c r="I687" s="17"/>
    </row>
    <row r="688">
      <c r="G688" s="17"/>
      <c r="I688" s="17"/>
    </row>
    <row r="689">
      <c r="G689" s="17"/>
      <c r="I689" s="17"/>
    </row>
    <row r="690">
      <c r="G690" s="17"/>
      <c r="I690" s="17"/>
    </row>
    <row r="691">
      <c r="G691" s="17"/>
      <c r="I691" s="17"/>
    </row>
    <row r="692">
      <c r="G692" s="17"/>
      <c r="I692" s="17"/>
    </row>
    <row r="693">
      <c r="G693" s="17"/>
      <c r="I693" s="17"/>
    </row>
    <row r="694">
      <c r="G694" s="17"/>
      <c r="I694" s="17"/>
    </row>
    <row r="695">
      <c r="G695" s="17"/>
      <c r="I695" s="17"/>
    </row>
    <row r="696">
      <c r="G696" s="17"/>
      <c r="I696" s="17"/>
    </row>
    <row r="697">
      <c r="G697" s="17"/>
      <c r="I697" s="17"/>
    </row>
    <row r="698">
      <c r="G698" s="17"/>
      <c r="I698" s="17"/>
    </row>
    <row r="699">
      <c r="G699" s="17"/>
      <c r="I699" s="17"/>
    </row>
    <row r="700">
      <c r="G700" s="17"/>
      <c r="I700" s="17"/>
    </row>
    <row r="701">
      <c r="G701" s="17"/>
      <c r="I701" s="17"/>
    </row>
    <row r="702">
      <c r="G702" s="17"/>
      <c r="I702" s="17"/>
    </row>
    <row r="703">
      <c r="G703" s="17"/>
      <c r="I703" s="17"/>
    </row>
    <row r="704">
      <c r="G704" s="17"/>
      <c r="I704" s="17"/>
    </row>
    <row r="705">
      <c r="G705" s="17"/>
      <c r="I705" s="17"/>
    </row>
    <row r="706">
      <c r="G706" s="17"/>
      <c r="I706" s="17"/>
    </row>
    <row r="707">
      <c r="G707" s="17"/>
      <c r="I707" s="17"/>
    </row>
    <row r="708">
      <c r="G708" s="17"/>
      <c r="I708" s="17"/>
    </row>
    <row r="709">
      <c r="G709" s="17"/>
      <c r="I709" s="17"/>
    </row>
    <row r="710">
      <c r="G710" s="17"/>
      <c r="I710" s="17"/>
    </row>
    <row r="711">
      <c r="G711" s="17"/>
      <c r="I711" s="17"/>
    </row>
    <row r="712">
      <c r="G712" s="17"/>
      <c r="I712" s="17"/>
    </row>
    <row r="713">
      <c r="G713" s="17"/>
      <c r="I713" s="17"/>
    </row>
    <row r="714">
      <c r="G714" s="17"/>
      <c r="I714" s="17"/>
    </row>
    <row r="715">
      <c r="G715" s="17"/>
      <c r="I715" s="17"/>
    </row>
    <row r="716">
      <c r="G716" s="17"/>
      <c r="I716" s="17"/>
    </row>
    <row r="717">
      <c r="G717" s="17"/>
      <c r="I717" s="17"/>
    </row>
    <row r="718">
      <c r="G718" s="17"/>
      <c r="I718" s="17"/>
    </row>
    <row r="719">
      <c r="G719" s="17"/>
      <c r="I719" s="17"/>
    </row>
    <row r="720">
      <c r="G720" s="17"/>
      <c r="I720" s="17"/>
    </row>
    <row r="721">
      <c r="G721" s="17"/>
      <c r="I721" s="17"/>
    </row>
    <row r="722">
      <c r="G722" s="17"/>
      <c r="I722" s="17"/>
    </row>
    <row r="723">
      <c r="G723" s="17"/>
      <c r="I723" s="17"/>
    </row>
    <row r="724">
      <c r="G724" s="17"/>
      <c r="I724" s="17"/>
    </row>
    <row r="725">
      <c r="G725" s="17"/>
      <c r="I725" s="17"/>
    </row>
    <row r="726">
      <c r="G726" s="17"/>
      <c r="I726" s="17"/>
    </row>
    <row r="727">
      <c r="G727" s="17"/>
      <c r="I727" s="17"/>
    </row>
    <row r="728">
      <c r="G728" s="17"/>
      <c r="I728" s="17"/>
    </row>
    <row r="729">
      <c r="G729" s="17"/>
      <c r="I729" s="17"/>
    </row>
    <row r="730">
      <c r="G730" s="17"/>
      <c r="I730" s="17"/>
    </row>
    <row r="731">
      <c r="G731" s="17"/>
      <c r="I731" s="17"/>
    </row>
    <row r="732">
      <c r="G732" s="17"/>
      <c r="I732" s="17"/>
    </row>
    <row r="733">
      <c r="G733" s="17"/>
      <c r="I733" s="17"/>
    </row>
    <row r="734">
      <c r="G734" s="17"/>
      <c r="I734" s="17"/>
    </row>
    <row r="735">
      <c r="G735" s="17"/>
      <c r="I735" s="17"/>
    </row>
    <row r="736">
      <c r="G736" s="17"/>
      <c r="I736" s="17"/>
    </row>
    <row r="737">
      <c r="G737" s="17"/>
      <c r="I737" s="17"/>
    </row>
    <row r="738">
      <c r="G738" s="17"/>
      <c r="I738" s="17"/>
    </row>
    <row r="739">
      <c r="G739" s="17"/>
      <c r="I739" s="17"/>
    </row>
    <row r="740">
      <c r="G740" s="17"/>
      <c r="I740" s="17"/>
    </row>
    <row r="741">
      <c r="G741" s="17"/>
      <c r="I741" s="17"/>
    </row>
    <row r="742">
      <c r="G742" s="17"/>
      <c r="I742" s="17"/>
    </row>
    <row r="743">
      <c r="G743" s="17"/>
      <c r="I743" s="17"/>
    </row>
    <row r="744">
      <c r="G744" s="17"/>
      <c r="I744" s="17"/>
    </row>
    <row r="745">
      <c r="G745" s="17"/>
      <c r="I745" s="17"/>
    </row>
    <row r="746">
      <c r="G746" s="17"/>
      <c r="I746" s="17"/>
    </row>
    <row r="747">
      <c r="G747" s="17"/>
      <c r="I747" s="17"/>
    </row>
    <row r="748">
      <c r="G748" s="17"/>
      <c r="I748" s="17"/>
    </row>
    <row r="749">
      <c r="G749" s="17"/>
      <c r="I749" s="17"/>
    </row>
    <row r="750">
      <c r="G750" s="17"/>
      <c r="I750" s="17"/>
    </row>
    <row r="751">
      <c r="G751" s="17"/>
      <c r="I751" s="17"/>
    </row>
    <row r="752">
      <c r="G752" s="17"/>
      <c r="I752" s="17"/>
    </row>
    <row r="753">
      <c r="G753" s="17"/>
      <c r="I753" s="17"/>
    </row>
    <row r="754">
      <c r="G754" s="17"/>
      <c r="I754" s="17"/>
    </row>
    <row r="755">
      <c r="G755" s="17"/>
      <c r="I755" s="17"/>
    </row>
    <row r="756">
      <c r="G756" s="17"/>
      <c r="I756" s="17"/>
    </row>
    <row r="757">
      <c r="G757" s="17"/>
      <c r="I757" s="17"/>
    </row>
    <row r="758">
      <c r="G758" s="17"/>
      <c r="I758" s="17"/>
    </row>
    <row r="759">
      <c r="G759" s="17"/>
      <c r="I759" s="17"/>
    </row>
    <row r="760">
      <c r="G760" s="17"/>
      <c r="I760" s="17"/>
    </row>
    <row r="761">
      <c r="G761" s="17"/>
      <c r="I761" s="17"/>
    </row>
    <row r="762">
      <c r="G762" s="17"/>
      <c r="I762" s="17"/>
    </row>
    <row r="763">
      <c r="G763" s="17"/>
      <c r="I763" s="17"/>
    </row>
    <row r="764">
      <c r="G764" s="17"/>
      <c r="I764" s="17"/>
    </row>
    <row r="765">
      <c r="G765" s="17"/>
      <c r="I765" s="17"/>
    </row>
    <row r="766">
      <c r="G766" s="17"/>
      <c r="I766" s="17"/>
    </row>
    <row r="767">
      <c r="G767" s="17"/>
      <c r="I767" s="17"/>
    </row>
    <row r="768">
      <c r="G768" s="17"/>
      <c r="I768" s="17"/>
    </row>
    <row r="769">
      <c r="G769" s="17"/>
      <c r="I769" s="17"/>
    </row>
    <row r="770">
      <c r="G770" s="17"/>
      <c r="I770" s="17"/>
    </row>
    <row r="771">
      <c r="G771" s="17"/>
      <c r="I771" s="17"/>
    </row>
    <row r="772">
      <c r="G772" s="17"/>
      <c r="I772" s="17"/>
    </row>
    <row r="773">
      <c r="G773" s="17"/>
      <c r="I773" s="17"/>
    </row>
    <row r="774">
      <c r="G774" s="17"/>
      <c r="I774" s="17"/>
    </row>
    <row r="775">
      <c r="G775" s="17"/>
      <c r="I775" s="17"/>
    </row>
    <row r="776">
      <c r="G776" s="17"/>
      <c r="I776" s="17"/>
    </row>
    <row r="777">
      <c r="G777" s="17"/>
      <c r="I777" s="17"/>
    </row>
    <row r="778">
      <c r="G778" s="17"/>
      <c r="I778" s="17"/>
    </row>
    <row r="779">
      <c r="G779" s="17"/>
      <c r="I779" s="17"/>
    </row>
    <row r="780">
      <c r="G780" s="17"/>
      <c r="I780" s="17"/>
    </row>
    <row r="781">
      <c r="G781" s="17"/>
      <c r="I781" s="17"/>
    </row>
    <row r="782">
      <c r="G782" s="17"/>
      <c r="I782" s="17"/>
    </row>
    <row r="783">
      <c r="G783" s="17"/>
      <c r="I783" s="17"/>
    </row>
    <row r="784">
      <c r="G784" s="17"/>
      <c r="I784" s="17"/>
    </row>
    <row r="785">
      <c r="G785" s="17"/>
      <c r="I785" s="17"/>
    </row>
    <row r="786">
      <c r="G786" s="17"/>
      <c r="I786" s="17"/>
    </row>
    <row r="787">
      <c r="G787" s="17"/>
      <c r="I787" s="17"/>
    </row>
    <row r="788">
      <c r="G788" s="17"/>
      <c r="I788" s="17"/>
    </row>
    <row r="789">
      <c r="G789" s="17"/>
      <c r="I789" s="17"/>
    </row>
    <row r="790">
      <c r="G790" s="17"/>
      <c r="I790" s="17"/>
    </row>
    <row r="791">
      <c r="G791" s="17"/>
      <c r="I791" s="17"/>
    </row>
    <row r="792">
      <c r="G792" s="17"/>
      <c r="I792" s="17"/>
    </row>
    <row r="793">
      <c r="G793" s="17"/>
      <c r="I793" s="17"/>
    </row>
    <row r="794">
      <c r="G794" s="17"/>
      <c r="I794" s="17"/>
    </row>
    <row r="795">
      <c r="G795" s="17"/>
      <c r="I795" s="17"/>
    </row>
    <row r="796">
      <c r="G796" s="17"/>
      <c r="I796" s="17"/>
    </row>
    <row r="797">
      <c r="G797" s="17"/>
      <c r="I797" s="17"/>
    </row>
    <row r="798">
      <c r="G798" s="17"/>
      <c r="I798" s="17"/>
    </row>
    <row r="799">
      <c r="G799" s="17"/>
      <c r="I799" s="17"/>
    </row>
    <row r="800">
      <c r="G800" s="17"/>
      <c r="I800" s="17"/>
    </row>
    <row r="801">
      <c r="G801" s="17"/>
      <c r="I801" s="17"/>
    </row>
    <row r="802">
      <c r="G802" s="17"/>
      <c r="I802" s="17"/>
    </row>
    <row r="803">
      <c r="G803" s="17"/>
      <c r="I803" s="17"/>
    </row>
    <row r="804">
      <c r="G804" s="17"/>
      <c r="I804" s="17"/>
    </row>
    <row r="805">
      <c r="G805" s="17"/>
      <c r="I805" s="17"/>
    </row>
    <row r="806">
      <c r="G806" s="17"/>
      <c r="I806" s="17"/>
    </row>
    <row r="807">
      <c r="G807" s="17"/>
      <c r="I807" s="17"/>
    </row>
    <row r="808">
      <c r="G808" s="17"/>
      <c r="I808" s="17"/>
    </row>
    <row r="809">
      <c r="G809" s="17"/>
      <c r="I809" s="17"/>
    </row>
    <row r="810">
      <c r="G810" s="17"/>
      <c r="I810" s="17"/>
    </row>
    <row r="811">
      <c r="G811" s="17"/>
      <c r="I811" s="17"/>
    </row>
    <row r="812">
      <c r="G812" s="17"/>
      <c r="I812" s="17"/>
    </row>
    <row r="813">
      <c r="G813" s="17"/>
      <c r="I813" s="17"/>
    </row>
    <row r="814">
      <c r="G814" s="17"/>
      <c r="I814" s="17"/>
    </row>
    <row r="815">
      <c r="G815" s="17"/>
      <c r="I815" s="17"/>
    </row>
    <row r="816">
      <c r="G816" s="17"/>
      <c r="I816" s="17"/>
    </row>
    <row r="817">
      <c r="G817" s="17"/>
      <c r="I817" s="17"/>
    </row>
    <row r="818">
      <c r="G818" s="17"/>
      <c r="I818" s="17"/>
    </row>
    <row r="819">
      <c r="G819" s="17"/>
      <c r="I819" s="17"/>
    </row>
    <row r="820">
      <c r="G820" s="17"/>
      <c r="I820" s="17"/>
    </row>
    <row r="821">
      <c r="G821" s="17"/>
      <c r="I821" s="17"/>
    </row>
    <row r="822">
      <c r="G822" s="17"/>
      <c r="I822" s="17"/>
    </row>
    <row r="823">
      <c r="G823" s="17"/>
      <c r="I823" s="17"/>
    </row>
    <row r="824">
      <c r="G824" s="17"/>
      <c r="I824" s="17"/>
    </row>
    <row r="825">
      <c r="G825" s="17"/>
      <c r="I825" s="17"/>
    </row>
    <row r="826">
      <c r="G826" s="17"/>
      <c r="I826" s="17"/>
    </row>
    <row r="827">
      <c r="G827" s="17"/>
      <c r="I827" s="17"/>
    </row>
    <row r="828">
      <c r="G828" s="17"/>
      <c r="I828" s="17"/>
    </row>
    <row r="829">
      <c r="G829" s="17"/>
      <c r="I829" s="17"/>
    </row>
    <row r="830">
      <c r="G830" s="17"/>
      <c r="I830" s="17"/>
    </row>
    <row r="831">
      <c r="G831" s="17"/>
      <c r="I831" s="17"/>
    </row>
    <row r="832">
      <c r="G832" s="17"/>
      <c r="I832" s="17"/>
    </row>
    <row r="833">
      <c r="G833" s="17"/>
      <c r="I833" s="17"/>
    </row>
    <row r="834">
      <c r="G834" s="17"/>
      <c r="I834" s="17"/>
    </row>
    <row r="835">
      <c r="G835" s="17"/>
      <c r="I835" s="17"/>
    </row>
    <row r="836">
      <c r="G836" s="17"/>
      <c r="I836" s="17"/>
    </row>
    <row r="837">
      <c r="G837" s="17"/>
      <c r="I837" s="17"/>
    </row>
    <row r="838">
      <c r="G838" s="17"/>
      <c r="I838" s="17"/>
    </row>
    <row r="839">
      <c r="G839" s="17"/>
      <c r="I839" s="17"/>
    </row>
    <row r="840">
      <c r="G840" s="17"/>
      <c r="I840" s="17"/>
    </row>
    <row r="841">
      <c r="G841" s="17"/>
      <c r="I841" s="17"/>
    </row>
    <row r="842">
      <c r="G842" s="17"/>
      <c r="I842" s="17"/>
    </row>
    <row r="843">
      <c r="G843" s="17"/>
      <c r="I843" s="17"/>
    </row>
    <row r="844">
      <c r="G844" s="17"/>
      <c r="I844" s="17"/>
    </row>
    <row r="845">
      <c r="G845" s="17"/>
      <c r="I845" s="17"/>
    </row>
    <row r="846">
      <c r="G846" s="17"/>
      <c r="I846" s="17"/>
    </row>
    <row r="847">
      <c r="G847" s="17"/>
      <c r="I847" s="17"/>
    </row>
    <row r="848">
      <c r="G848" s="17"/>
      <c r="I848" s="17"/>
    </row>
    <row r="849">
      <c r="G849" s="17"/>
      <c r="I849" s="17"/>
    </row>
    <row r="850">
      <c r="G850" s="17"/>
      <c r="I850" s="17"/>
    </row>
    <row r="851">
      <c r="G851" s="17"/>
      <c r="I851" s="17"/>
    </row>
    <row r="852">
      <c r="G852" s="17"/>
      <c r="I852" s="17"/>
    </row>
    <row r="853">
      <c r="G853" s="17"/>
      <c r="I853" s="17"/>
    </row>
    <row r="854">
      <c r="G854" s="17"/>
      <c r="I854" s="17"/>
    </row>
    <row r="855">
      <c r="G855" s="17"/>
      <c r="I855" s="17"/>
    </row>
    <row r="856">
      <c r="G856" s="17"/>
      <c r="I856" s="17"/>
    </row>
    <row r="857">
      <c r="G857" s="17"/>
      <c r="I857" s="17"/>
    </row>
    <row r="858">
      <c r="G858" s="17"/>
      <c r="I858" s="17"/>
    </row>
    <row r="859">
      <c r="G859" s="17"/>
      <c r="I859" s="17"/>
    </row>
    <row r="860">
      <c r="G860" s="17"/>
      <c r="I860" s="17"/>
    </row>
    <row r="861">
      <c r="G861" s="17"/>
      <c r="I861" s="17"/>
    </row>
    <row r="862">
      <c r="G862" s="17"/>
      <c r="I862" s="17"/>
    </row>
    <row r="863">
      <c r="G863" s="17"/>
      <c r="I863" s="17"/>
    </row>
    <row r="864">
      <c r="G864" s="17"/>
      <c r="I864" s="17"/>
    </row>
    <row r="865">
      <c r="G865" s="17"/>
      <c r="I865" s="17"/>
    </row>
    <row r="866">
      <c r="G866" s="17"/>
      <c r="I866" s="17"/>
    </row>
    <row r="867">
      <c r="G867" s="17"/>
      <c r="I867" s="17"/>
    </row>
    <row r="868">
      <c r="G868" s="17"/>
      <c r="I868" s="17"/>
    </row>
    <row r="869">
      <c r="G869" s="17"/>
      <c r="I869" s="17"/>
    </row>
    <row r="870">
      <c r="G870" s="17"/>
      <c r="I870" s="17"/>
    </row>
    <row r="871">
      <c r="G871" s="17"/>
      <c r="I871" s="17"/>
    </row>
    <row r="872">
      <c r="G872" s="17"/>
      <c r="I872" s="17"/>
    </row>
    <row r="873">
      <c r="G873" s="17"/>
      <c r="I873" s="17"/>
    </row>
    <row r="874">
      <c r="G874" s="17"/>
      <c r="I874" s="17"/>
    </row>
    <row r="875">
      <c r="G875" s="17"/>
      <c r="I875" s="17"/>
    </row>
    <row r="876">
      <c r="G876" s="17"/>
      <c r="I876" s="17"/>
    </row>
    <row r="877">
      <c r="G877" s="17"/>
      <c r="I877" s="17"/>
    </row>
    <row r="878">
      <c r="G878" s="17"/>
      <c r="I878" s="17"/>
    </row>
    <row r="879">
      <c r="G879" s="17"/>
      <c r="I879" s="17"/>
    </row>
    <row r="880">
      <c r="G880" s="17"/>
      <c r="I880" s="17"/>
    </row>
    <row r="881">
      <c r="G881" s="17"/>
      <c r="I881" s="17"/>
    </row>
    <row r="882">
      <c r="G882" s="17"/>
      <c r="I882" s="17"/>
    </row>
    <row r="883">
      <c r="G883" s="17"/>
      <c r="I883" s="17"/>
    </row>
    <row r="884">
      <c r="G884" s="17"/>
      <c r="I884" s="17"/>
    </row>
    <row r="885">
      <c r="G885" s="17"/>
      <c r="I885" s="17"/>
    </row>
    <row r="886">
      <c r="G886" s="17"/>
      <c r="I886" s="17"/>
    </row>
    <row r="887">
      <c r="G887" s="17"/>
      <c r="I887" s="17"/>
    </row>
    <row r="888">
      <c r="G888" s="17"/>
      <c r="I888" s="17"/>
    </row>
    <row r="889">
      <c r="G889" s="17"/>
      <c r="I889" s="17"/>
    </row>
    <row r="890">
      <c r="G890" s="17"/>
      <c r="I890" s="17"/>
    </row>
    <row r="891">
      <c r="G891" s="17"/>
      <c r="I891" s="17"/>
    </row>
    <row r="892">
      <c r="G892" s="17"/>
      <c r="I892" s="17"/>
    </row>
    <row r="893">
      <c r="G893" s="17"/>
      <c r="I893" s="17"/>
    </row>
    <row r="894">
      <c r="G894" s="17"/>
      <c r="I894" s="17"/>
    </row>
    <row r="895">
      <c r="G895" s="17"/>
      <c r="I895" s="17"/>
    </row>
    <row r="896">
      <c r="G896" s="17"/>
      <c r="I896" s="17"/>
    </row>
    <row r="897">
      <c r="G897" s="17"/>
      <c r="I897" s="17"/>
    </row>
    <row r="898">
      <c r="G898" s="17"/>
      <c r="I898" s="17"/>
    </row>
    <row r="899">
      <c r="G899" s="17"/>
      <c r="I899" s="17"/>
    </row>
    <row r="900">
      <c r="G900" s="17"/>
      <c r="I900" s="17"/>
    </row>
    <row r="901">
      <c r="G901" s="17"/>
      <c r="I901" s="17"/>
    </row>
    <row r="902">
      <c r="G902" s="17"/>
      <c r="I902" s="17"/>
    </row>
    <row r="903">
      <c r="G903" s="17"/>
      <c r="I903" s="17"/>
    </row>
    <row r="904">
      <c r="G904" s="17"/>
      <c r="I904" s="17"/>
    </row>
    <row r="905">
      <c r="G905" s="17"/>
      <c r="I905" s="17"/>
    </row>
    <row r="906">
      <c r="G906" s="17"/>
      <c r="I906" s="17"/>
    </row>
    <row r="907">
      <c r="G907" s="17"/>
      <c r="I907" s="17"/>
    </row>
    <row r="908">
      <c r="G908" s="17"/>
      <c r="I908" s="17"/>
    </row>
    <row r="909">
      <c r="G909" s="17"/>
      <c r="I909" s="17"/>
    </row>
    <row r="910">
      <c r="G910" s="17"/>
      <c r="I910" s="17"/>
    </row>
    <row r="911">
      <c r="G911" s="17"/>
      <c r="I911" s="17"/>
    </row>
    <row r="912">
      <c r="G912" s="17"/>
      <c r="I912" s="17"/>
    </row>
    <row r="913">
      <c r="G913" s="17"/>
      <c r="I913" s="17"/>
    </row>
    <row r="914">
      <c r="G914" s="17"/>
      <c r="I914" s="17"/>
    </row>
    <row r="915">
      <c r="G915" s="17"/>
      <c r="I915" s="17"/>
    </row>
    <row r="916">
      <c r="G916" s="17"/>
      <c r="I916" s="17"/>
    </row>
    <row r="917">
      <c r="G917" s="17"/>
      <c r="I917" s="17"/>
    </row>
    <row r="918">
      <c r="G918" s="17"/>
      <c r="I918" s="17"/>
    </row>
    <row r="919">
      <c r="G919" s="17"/>
      <c r="I919" s="17"/>
    </row>
    <row r="920">
      <c r="G920" s="17"/>
      <c r="I920" s="17"/>
    </row>
    <row r="921">
      <c r="G921" s="17"/>
      <c r="I921" s="17"/>
    </row>
    <row r="922">
      <c r="G922" s="17"/>
      <c r="I922" s="17"/>
    </row>
    <row r="923">
      <c r="G923" s="17"/>
      <c r="I923" s="17"/>
    </row>
    <row r="924">
      <c r="G924" s="17"/>
      <c r="I924" s="17"/>
    </row>
    <row r="925">
      <c r="G925" s="17"/>
      <c r="I925" s="17"/>
    </row>
    <row r="926">
      <c r="G926" s="17"/>
      <c r="I926" s="17"/>
    </row>
    <row r="927">
      <c r="G927" s="17"/>
      <c r="I927" s="17"/>
    </row>
    <row r="928">
      <c r="G928" s="17"/>
      <c r="I928" s="17"/>
    </row>
    <row r="929">
      <c r="G929" s="17"/>
      <c r="I929" s="17"/>
    </row>
    <row r="930">
      <c r="G930" s="17"/>
      <c r="I930" s="17"/>
    </row>
    <row r="931">
      <c r="G931" s="17"/>
      <c r="I931" s="17"/>
    </row>
    <row r="932">
      <c r="G932" s="17"/>
      <c r="I932" s="17"/>
    </row>
    <row r="933">
      <c r="G933" s="17"/>
      <c r="I933" s="17"/>
    </row>
    <row r="934">
      <c r="G934" s="17"/>
      <c r="I934" s="17"/>
    </row>
    <row r="935">
      <c r="G935" s="17"/>
      <c r="I935" s="17"/>
    </row>
    <row r="936">
      <c r="G936" s="17"/>
      <c r="I936" s="17"/>
    </row>
    <row r="937">
      <c r="G937" s="17"/>
      <c r="I937" s="17"/>
    </row>
    <row r="938">
      <c r="G938" s="17"/>
      <c r="I938" s="17"/>
    </row>
    <row r="939">
      <c r="G939" s="17"/>
      <c r="I939" s="17"/>
    </row>
    <row r="940">
      <c r="G940" s="17"/>
      <c r="I940" s="17"/>
    </row>
    <row r="941">
      <c r="G941" s="17"/>
      <c r="I941" s="17"/>
    </row>
    <row r="942">
      <c r="G942" s="17"/>
      <c r="I942" s="17"/>
    </row>
    <row r="943">
      <c r="G943" s="17"/>
      <c r="I943" s="17"/>
    </row>
    <row r="944">
      <c r="G944" s="17"/>
      <c r="I944" s="17"/>
    </row>
    <row r="945">
      <c r="G945" s="17"/>
      <c r="I945" s="17"/>
    </row>
    <row r="946">
      <c r="G946" s="17"/>
      <c r="I946" s="17"/>
    </row>
    <row r="947">
      <c r="G947" s="17"/>
      <c r="I947" s="17"/>
    </row>
    <row r="948">
      <c r="G948" s="17"/>
      <c r="I948" s="17"/>
    </row>
    <row r="949">
      <c r="G949" s="17"/>
      <c r="I949" s="17"/>
    </row>
    <row r="950">
      <c r="G950" s="17"/>
      <c r="I950" s="17"/>
    </row>
    <row r="951">
      <c r="G951" s="17"/>
      <c r="I951" s="17"/>
    </row>
    <row r="952">
      <c r="G952" s="17"/>
      <c r="I952" s="17"/>
    </row>
    <row r="953">
      <c r="G953" s="17"/>
      <c r="I953" s="17"/>
    </row>
    <row r="954">
      <c r="G954" s="17"/>
      <c r="I954" s="17"/>
    </row>
    <row r="955">
      <c r="G955" s="17"/>
      <c r="I955" s="17"/>
    </row>
    <row r="956">
      <c r="G956" s="17"/>
      <c r="I956" s="17"/>
    </row>
    <row r="957">
      <c r="G957" s="17"/>
      <c r="I957" s="17"/>
    </row>
    <row r="958">
      <c r="G958" s="17"/>
      <c r="I958" s="17"/>
    </row>
    <row r="959">
      <c r="G959" s="17"/>
      <c r="I959" s="17"/>
    </row>
    <row r="960">
      <c r="G960" s="17"/>
      <c r="I960" s="17"/>
    </row>
    <row r="961">
      <c r="G961" s="17"/>
      <c r="I961" s="17"/>
    </row>
    <row r="962">
      <c r="G962" s="17"/>
      <c r="I962" s="17"/>
    </row>
    <row r="963">
      <c r="G963" s="17"/>
      <c r="I963" s="17"/>
    </row>
    <row r="964">
      <c r="G964" s="17"/>
      <c r="I964" s="17"/>
    </row>
    <row r="965">
      <c r="G965" s="17"/>
      <c r="I965" s="17"/>
    </row>
    <row r="966">
      <c r="G966" s="17"/>
      <c r="I966" s="17"/>
    </row>
    <row r="967">
      <c r="G967" s="17"/>
      <c r="I967" s="17"/>
    </row>
    <row r="968">
      <c r="G968" s="17"/>
      <c r="I968" s="17"/>
    </row>
    <row r="969">
      <c r="G969" s="17"/>
      <c r="I969" s="17"/>
    </row>
    <row r="970">
      <c r="G970" s="17"/>
      <c r="I970" s="17"/>
    </row>
    <row r="971">
      <c r="G971" s="17"/>
      <c r="I971" s="17"/>
    </row>
    <row r="972">
      <c r="G972" s="17"/>
      <c r="I972" s="17"/>
    </row>
    <row r="973">
      <c r="G973" s="17"/>
      <c r="I973" s="17"/>
    </row>
    <row r="974">
      <c r="G974" s="17"/>
      <c r="I974" s="17"/>
    </row>
    <row r="975">
      <c r="G975" s="17"/>
      <c r="I975" s="17"/>
    </row>
    <row r="976">
      <c r="G976" s="17"/>
      <c r="I976" s="17"/>
    </row>
    <row r="977">
      <c r="G977" s="17"/>
      <c r="I977" s="17"/>
    </row>
    <row r="978">
      <c r="G978" s="17"/>
      <c r="I978" s="17"/>
    </row>
    <row r="979">
      <c r="G979" s="17"/>
      <c r="I979" s="17"/>
    </row>
    <row r="980">
      <c r="G980" s="17"/>
      <c r="I980" s="17"/>
    </row>
    <row r="981">
      <c r="G981" s="17"/>
      <c r="I981" s="17"/>
    </row>
    <row r="982">
      <c r="G982" s="17"/>
      <c r="I982" s="17"/>
    </row>
    <row r="983">
      <c r="G983" s="17"/>
      <c r="I983" s="17"/>
    </row>
    <row r="984">
      <c r="G984" s="17"/>
      <c r="I984" s="17"/>
    </row>
    <row r="985">
      <c r="G985" s="17"/>
      <c r="I985" s="17"/>
    </row>
    <row r="986">
      <c r="G986" s="17"/>
      <c r="I986" s="17"/>
    </row>
    <row r="987">
      <c r="G987" s="17"/>
      <c r="I987" s="17"/>
    </row>
    <row r="988">
      <c r="G988" s="17"/>
      <c r="I988" s="17"/>
    </row>
    <row r="989">
      <c r="G989" s="17"/>
      <c r="I989" s="17"/>
    </row>
    <row r="990">
      <c r="G990" s="17"/>
      <c r="I990" s="17"/>
    </row>
    <row r="991">
      <c r="G991" s="17"/>
      <c r="I991" s="17"/>
    </row>
    <row r="992">
      <c r="G992" s="17"/>
      <c r="I992" s="17"/>
    </row>
    <row r="993">
      <c r="G993" s="17"/>
      <c r="I993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9.88"/>
    <col customWidth="1" min="3" max="3" width="31.38"/>
    <col customWidth="1" min="4" max="4" width="22.75"/>
    <col customWidth="1" min="5" max="5" width="29.38"/>
    <col customWidth="1" min="6" max="6" width="27.38"/>
  </cols>
  <sheetData>
    <row r="1">
      <c r="A1" s="15" t="s">
        <v>9</v>
      </c>
      <c r="B1" s="15" t="s">
        <v>10</v>
      </c>
      <c r="C1" s="15" t="s">
        <v>11</v>
      </c>
      <c r="D1" s="15" t="s">
        <v>12</v>
      </c>
      <c r="E1" s="15" t="s">
        <v>13</v>
      </c>
      <c r="F1" s="15" t="s">
        <v>14</v>
      </c>
    </row>
    <row r="2">
      <c r="A2" s="15">
        <v>2010.0</v>
      </c>
      <c r="B2" s="15">
        <v>81.0</v>
      </c>
      <c r="C2" s="15">
        <v>0.0</v>
      </c>
      <c r="D2" s="15" t="s">
        <v>15</v>
      </c>
      <c r="E2" s="15">
        <v>0.0</v>
      </c>
      <c r="F2" s="15">
        <v>0.0</v>
      </c>
    </row>
    <row r="3">
      <c r="A3" s="15">
        <v>2011.0</v>
      </c>
      <c r="B3" s="15">
        <v>108.0</v>
      </c>
      <c r="C3" s="15">
        <v>0.0</v>
      </c>
      <c r="D3" s="15">
        <v>189.0</v>
      </c>
      <c r="E3" s="15">
        <v>0.0</v>
      </c>
      <c r="F3" s="15">
        <v>0.0</v>
      </c>
    </row>
    <row r="4">
      <c r="A4" s="15">
        <v>2012.0</v>
      </c>
      <c r="B4" s="15">
        <v>51.0</v>
      </c>
      <c r="C4" s="15">
        <v>0.0</v>
      </c>
      <c r="D4" s="15">
        <v>240.0</v>
      </c>
      <c r="E4" s="15">
        <v>0.0</v>
      </c>
      <c r="F4" s="15">
        <v>0.0</v>
      </c>
    </row>
    <row r="5">
      <c r="A5" s="15">
        <v>2013.0</v>
      </c>
      <c r="B5" s="15">
        <v>45.0</v>
      </c>
      <c r="C5" s="15">
        <v>0.0</v>
      </c>
      <c r="D5" s="15">
        <v>285.0</v>
      </c>
      <c r="E5" s="15">
        <v>0.0</v>
      </c>
      <c r="F5" s="15">
        <v>0.0</v>
      </c>
    </row>
    <row r="6">
      <c r="A6" s="15">
        <v>2014.0</v>
      </c>
      <c r="B6" s="15">
        <v>8.0</v>
      </c>
      <c r="C6" s="15">
        <v>0.0</v>
      </c>
      <c r="D6" s="15">
        <v>293.0</v>
      </c>
      <c r="E6" s="15">
        <v>0.0</v>
      </c>
      <c r="F6" s="15">
        <v>0.0</v>
      </c>
    </row>
    <row r="7">
      <c r="A7" s="15">
        <v>2015.0</v>
      </c>
      <c r="B7" s="15">
        <v>5.0</v>
      </c>
      <c r="C7" s="15">
        <v>0.0</v>
      </c>
      <c r="D7" s="15">
        <v>298.0</v>
      </c>
      <c r="E7" s="15">
        <v>0.0</v>
      </c>
      <c r="F7" s="15">
        <v>0.0</v>
      </c>
    </row>
    <row r="8">
      <c r="A8" s="15">
        <v>2016.0</v>
      </c>
      <c r="B8" s="15">
        <v>3.0</v>
      </c>
      <c r="C8" s="15">
        <v>0.0</v>
      </c>
      <c r="D8" s="15">
        <v>301.0</v>
      </c>
      <c r="E8" s="15">
        <v>0.0</v>
      </c>
      <c r="F8" s="15">
        <v>0.0</v>
      </c>
    </row>
    <row r="9">
      <c r="A9" s="15">
        <v>2017.0</v>
      </c>
      <c r="B9" s="15">
        <v>95.0</v>
      </c>
      <c r="C9" s="15">
        <v>0.0</v>
      </c>
      <c r="D9" s="15">
        <v>396.0</v>
      </c>
      <c r="E9" s="15">
        <v>0.0</v>
      </c>
      <c r="F9" s="15">
        <v>0.0</v>
      </c>
    </row>
    <row r="10">
      <c r="A10" s="15">
        <v>2018.0</v>
      </c>
      <c r="B10" s="15">
        <v>516.0</v>
      </c>
      <c r="C10" s="15">
        <v>0.0</v>
      </c>
      <c r="D10" s="15">
        <v>912.0</v>
      </c>
      <c r="E10" s="15">
        <v>0.0</v>
      </c>
      <c r="F10" s="15">
        <v>0.0</v>
      </c>
    </row>
    <row r="11">
      <c r="A11" s="15">
        <v>2019.0</v>
      </c>
      <c r="B11" s="15">
        <v>1527.0</v>
      </c>
      <c r="C11" s="15">
        <v>0.0</v>
      </c>
      <c r="D11" s="15">
        <v>2439.0</v>
      </c>
      <c r="E11" s="15">
        <v>0.0</v>
      </c>
      <c r="F11" s="15">
        <v>0.0</v>
      </c>
    </row>
    <row r="12">
      <c r="A12" s="15">
        <v>2020.0</v>
      </c>
      <c r="B12" s="15">
        <v>2749.0</v>
      </c>
      <c r="C12" s="39">
        <v>0.01</v>
      </c>
      <c r="D12" s="15">
        <v>5188.0</v>
      </c>
      <c r="E12" s="40">
        <f t="shared" ref="E12:E18" si="1">$C12*$B12</f>
        <v>27.49</v>
      </c>
      <c r="F12" s="40">
        <f>E12</f>
        <v>27.49</v>
      </c>
    </row>
    <row r="13">
      <c r="A13" s="15">
        <v>2021.0</v>
      </c>
      <c r="B13" s="15">
        <v>6157.0</v>
      </c>
      <c r="C13" s="39">
        <v>0.01</v>
      </c>
      <c r="D13" s="15">
        <v>11345.0</v>
      </c>
      <c r="E13" s="40">
        <f t="shared" si="1"/>
        <v>61.57</v>
      </c>
      <c r="F13" s="40">
        <f t="shared" ref="F13:F18" si="2">F12+E13</f>
        <v>89.06</v>
      </c>
    </row>
    <row r="14">
      <c r="A14" s="15">
        <v>2022.0</v>
      </c>
      <c r="B14" s="15">
        <v>7906.0</v>
      </c>
      <c r="C14" s="39">
        <v>0.025</v>
      </c>
      <c r="D14" s="15">
        <v>19251.0</v>
      </c>
      <c r="E14" s="40">
        <f t="shared" si="1"/>
        <v>197.65</v>
      </c>
      <c r="F14" s="40">
        <f t="shared" si="2"/>
        <v>286.71</v>
      </c>
    </row>
    <row r="15">
      <c r="A15" s="15">
        <v>2023.0</v>
      </c>
      <c r="B15" s="15">
        <v>9558.0</v>
      </c>
      <c r="C15" s="39">
        <v>0.038</v>
      </c>
      <c r="D15" s="15">
        <v>28809.0</v>
      </c>
      <c r="E15" s="40">
        <f t="shared" si="1"/>
        <v>363.204</v>
      </c>
      <c r="F15" s="40">
        <f t="shared" si="2"/>
        <v>649.914</v>
      </c>
    </row>
    <row r="16">
      <c r="A16" s="15">
        <v>2024.0</v>
      </c>
      <c r="B16" s="15">
        <v>14175.0</v>
      </c>
      <c r="C16" s="39">
        <v>0.11</v>
      </c>
      <c r="D16" s="15">
        <v>42984.0</v>
      </c>
      <c r="E16" s="40">
        <f t="shared" si="1"/>
        <v>1559.25</v>
      </c>
      <c r="F16" s="40">
        <f t="shared" si="2"/>
        <v>2209.164</v>
      </c>
    </row>
    <row r="17">
      <c r="A17" s="15">
        <v>2025.0</v>
      </c>
      <c r="B17" s="15">
        <v>26632.0</v>
      </c>
      <c r="C17" s="39">
        <v>0.21</v>
      </c>
      <c r="D17" s="15">
        <v>69616.0</v>
      </c>
      <c r="E17" s="40">
        <f t="shared" si="1"/>
        <v>5592.72</v>
      </c>
      <c r="F17" s="40">
        <f t="shared" si="2"/>
        <v>7801.884</v>
      </c>
      <c r="H17" s="41" t="s">
        <v>16</v>
      </c>
    </row>
    <row r="18">
      <c r="A18" s="15" t="s">
        <v>17</v>
      </c>
      <c r="B18" s="15">
        <v>42238.0</v>
      </c>
      <c r="C18" s="39">
        <v>0.3</v>
      </c>
      <c r="D18" s="42">
        <v>111854.0</v>
      </c>
      <c r="E18" s="40">
        <f t="shared" si="1"/>
        <v>12671.4</v>
      </c>
      <c r="F18" s="43">
        <f t="shared" si="2"/>
        <v>20473.284</v>
      </c>
      <c r="H18" s="44">
        <f>F18/D18</f>
        <v>0.1830357788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2.75"/>
    <col customWidth="1" min="11" max="11" width="15.88"/>
  </cols>
  <sheetData>
    <row r="1" ht="22.5" customHeight="1">
      <c r="A1" s="45" t="s">
        <v>18</v>
      </c>
      <c r="B1" s="45" t="s">
        <v>19</v>
      </c>
      <c r="C1" s="46" t="s">
        <v>20</v>
      </c>
      <c r="D1" s="46" t="s">
        <v>21</v>
      </c>
      <c r="E1" s="46" t="s">
        <v>22</v>
      </c>
      <c r="F1" s="47" t="s">
        <v>23</v>
      </c>
      <c r="G1" s="46" t="s">
        <v>24</v>
      </c>
      <c r="H1" s="46" t="s">
        <v>25</v>
      </c>
    </row>
    <row r="2" ht="22.5" customHeight="1">
      <c r="A2" s="48">
        <v>164500.0</v>
      </c>
      <c r="B2" s="49">
        <v>34.0</v>
      </c>
      <c r="C2" s="50">
        <f t="shared" ref="C2:C9" si="1">LN($A2)</f>
        <v>12.01066585</v>
      </c>
      <c r="D2" s="50">
        <f t="shared" ref="D2:D9" si="2">POWER(C2,2)</f>
        <v>144.2560941</v>
      </c>
      <c r="E2" s="50">
        <f t="shared" ref="E2:E9" si="3">C2*B2</f>
        <v>408.3626389</v>
      </c>
      <c r="F2" s="51">
        <f t="shared" ref="F2:F9" si="4">$K$20*$C2+$K$21</f>
        <v>38.35529093</v>
      </c>
      <c r="G2" s="50">
        <f t="shared" ref="G2:G9" si="5">ABS(F2-B2)</f>
        <v>4.355290925</v>
      </c>
      <c r="H2" s="49">
        <f t="shared" ref="H2:H9" si="6">POWER(G2,2)</f>
        <v>18.96855904</v>
      </c>
      <c r="I2" s="15"/>
      <c r="J2" s="52" t="s">
        <v>26</v>
      </c>
      <c r="K2" s="15">
        <f>Datos_Log[[#TOTALS],[X²]]</f>
        <v>1202.756684</v>
      </c>
      <c r="L2" s="53" t="s">
        <v>27</v>
      </c>
      <c r="M2" s="54" t="s">
        <v>28</v>
      </c>
      <c r="N2" s="40">
        <f>Datos_Log[[#TOTALS],[X=ln(x)]]</f>
        <v>98.08494193</v>
      </c>
      <c r="O2" s="53" t="s">
        <v>29</v>
      </c>
      <c r="P2" s="40">
        <f>Datos_Log[[#TOTALS],[X.Y]]</f>
        <v>5270.477816</v>
      </c>
    </row>
    <row r="3" ht="22.5" customHeight="1">
      <c r="A3" s="48">
        <v>185000.0</v>
      </c>
      <c r="B3" s="49">
        <v>41.0</v>
      </c>
      <c r="C3" s="50">
        <f t="shared" si="1"/>
        <v>12.1281111</v>
      </c>
      <c r="D3" s="50">
        <f t="shared" si="2"/>
        <v>147.091079</v>
      </c>
      <c r="E3" s="50">
        <f t="shared" si="3"/>
        <v>497.2525553</v>
      </c>
      <c r="F3" s="51">
        <f t="shared" si="4"/>
        <v>45.53009108</v>
      </c>
      <c r="G3" s="50">
        <f t="shared" si="5"/>
        <v>4.530091081</v>
      </c>
      <c r="H3" s="49">
        <f t="shared" si="6"/>
        <v>20.5217252</v>
      </c>
      <c r="I3" s="15"/>
      <c r="J3" s="52" t="s">
        <v>26</v>
      </c>
      <c r="K3" s="40">
        <f>Datos_Log[[#TOTALS],[X=ln(x)]]</f>
        <v>98.08494193</v>
      </c>
      <c r="L3" s="53" t="s">
        <v>27</v>
      </c>
      <c r="M3" s="54" t="s">
        <v>28</v>
      </c>
      <c r="N3" s="40">
        <f>COUNT(Datos_Log[x])</f>
        <v>8</v>
      </c>
      <c r="O3" s="53" t="s">
        <v>29</v>
      </c>
      <c r="P3" s="17">
        <f>Datos_Log[[#TOTALS],[y]]</f>
        <v>429</v>
      </c>
    </row>
    <row r="4" ht="22.5" customHeight="1">
      <c r="A4" s="48">
        <v>185500.0</v>
      </c>
      <c r="B4" s="49">
        <v>54.0</v>
      </c>
      <c r="C4" s="50">
        <f t="shared" si="1"/>
        <v>12.13081016</v>
      </c>
      <c r="D4" s="50">
        <f t="shared" si="2"/>
        <v>147.1565552</v>
      </c>
      <c r="E4" s="50">
        <f t="shared" si="3"/>
        <v>655.0637487</v>
      </c>
      <c r="F4" s="51">
        <f t="shared" si="4"/>
        <v>45.69497807</v>
      </c>
      <c r="G4" s="50">
        <f t="shared" si="5"/>
        <v>8.305021931</v>
      </c>
      <c r="H4" s="50">
        <f t="shared" si="6"/>
        <v>68.97338928</v>
      </c>
    </row>
    <row r="5" ht="22.5" customHeight="1">
      <c r="A5" s="48">
        <v>214000.0</v>
      </c>
      <c r="B5" s="49">
        <v>53.0</v>
      </c>
      <c r="C5" s="50">
        <f t="shared" si="1"/>
        <v>12.27373129</v>
      </c>
      <c r="D5" s="50">
        <f t="shared" si="2"/>
        <v>150.6444799</v>
      </c>
      <c r="E5" s="50">
        <f t="shared" si="3"/>
        <v>650.5077586</v>
      </c>
      <c r="F5" s="51">
        <f t="shared" si="4"/>
        <v>54.4261147</v>
      </c>
      <c r="G5" s="50">
        <f t="shared" si="5"/>
        <v>1.426114701</v>
      </c>
      <c r="H5" s="49">
        <f t="shared" si="6"/>
        <v>2.03380314</v>
      </c>
      <c r="I5" s="15"/>
      <c r="J5" s="52" t="s">
        <v>26</v>
      </c>
      <c r="K5" s="40">
        <f>Datos_Log[[#TOTALS],[X=ln(x)]]/8</f>
        <v>12.26061774</v>
      </c>
      <c r="L5" s="53" t="s">
        <v>27</v>
      </c>
      <c r="M5" s="54" t="s">
        <v>28</v>
      </c>
      <c r="N5" s="40">
        <f>COUNT(Datos_Log[x])/8</f>
        <v>1</v>
      </c>
      <c r="O5" s="53" t="s">
        <v>29</v>
      </c>
      <c r="P5" s="40">
        <f>Datos_Log[[#TOTALS],[y]]/8</f>
        <v>53.625</v>
      </c>
    </row>
    <row r="6" ht="22.5" customHeight="1">
      <c r="A6" s="48">
        <v>225500.0</v>
      </c>
      <c r="B6" s="49">
        <v>68.0</v>
      </c>
      <c r="C6" s="50">
        <f t="shared" si="1"/>
        <v>12.32607544</v>
      </c>
      <c r="D6" s="50">
        <f t="shared" si="2"/>
        <v>151.9321357</v>
      </c>
      <c r="E6" s="50">
        <f t="shared" si="3"/>
        <v>838.1731298</v>
      </c>
      <c r="F6" s="51">
        <f t="shared" si="4"/>
        <v>57.62384944</v>
      </c>
      <c r="G6" s="50">
        <f t="shared" si="5"/>
        <v>10.37615056</v>
      </c>
      <c r="H6" s="50">
        <f t="shared" si="6"/>
        <v>107.6645004</v>
      </c>
      <c r="N6" s="54" t="s">
        <v>28</v>
      </c>
      <c r="O6" s="53" t="s">
        <v>29</v>
      </c>
      <c r="P6" s="40">
        <f>Datos_Log[[#TOTALS],[y]]/8</f>
        <v>53.625</v>
      </c>
      <c r="Q6" s="53" t="s">
        <v>30</v>
      </c>
      <c r="R6" s="52" t="s">
        <v>26</v>
      </c>
      <c r="S6" s="40">
        <f>Datos_Log[[#TOTALS],[X=ln(x)]]/8</f>
        <v>12.26061774</v>
      </c>
    </row>
    <row r="7" ht="22.5" customHeight="1">
      <c r="A7" s="48">
        <v>228500.0</v>
      </c>
      <c r="B7" s="49">
        <v>56.0</v>
      </c>
      <c r="C7" s="50">
        <f t="shared" si="1"/>
        <v>12.33929149</v>
      </c>
      <c r="D7" s="50">
        <f t="shared" si="2"/>
        <v>152.2581145</v>
      </c>
      <c r="E7" s="50">
        <f t="shared" si="3"/>
        <v>691.0003234</v>
      </c>
      <c r="F7" s="51">
        <f t="shared" si="4"/>
        <v>58.43122585</v>
      </c>
      <c r="G7" s="50">
        <f t="shared" si="5"/>
        <v>2.431225848</v>
      </c>
      <c r="H7" s="50">
        <f t="shared" si="6"/>
        <v>5.910859126</v>
      </c>
    </row>
    <row r="8" ht="22.5" customHeight="1">
      <c r="A8" s="48">
        <v>241000.0</v>
      </c>
      <c r="B8" s="49">
        <v>59.0</v>
      </c>
      <c r="C8" s="50">
        <f t="shared" si="1"/>
        <v>12.39255221</v>
      </c>
      <c r="D8" s="50">
        <f t="shared" si="2"/>
        <v>153.5753503</v>
      </c>
      <c r="E8" s="50">
        <f t="shared" si="3"/>
        <v>731.1605805</v>
      </c>
      <c r="F8" s="51">
        <f t="shared" si="4"/>
        <v>61.68495496</v>
      </c>
      <c r="G8" s="50">
        <f t="shared" si="5"/>
        <v>2.68495496</v>
      </c>
      <c r="H8" s="50">
        <f t="shared" si="6"/>
        <v>7.208983137</v>
      </c>
    </row>
    <row r="9" ht="22.5" customHeight="1">
      <c r="A9" s="48">
        <v>264000.0</v>
      </c>
      <c r="B9" s="49">
        <v>64.0</v>
      </c>
      <c r="C9" s="50">
        <f t="shared" si="1"/>
        <v>12.48370438</v>
      </c>
      <c r="D9" s="50">
        <f t="shared" si="2"/>
        <v>155.8428751</v>
      </c>
      <c r="E9" s="50">
        <f t="shared" si="3"/>
        <v>798.9570805</v>
      </c>
      <c r="F9" s="51">
        <f t="shared" si="4"/>
        <v>67.25349497</v>
      </c>
      <c r="G9" s="50">
        <f t="shared" si="5"/>
        <v>3.253494972</v>
      </c>
      <c r="H9" s="49">
        <f t="shared" si="6"/>
        <v>10.58522953</v>
      </c>
      <c r="I9" s="15"/>
      <c r="J9" s="52" t="s">
        <v>26</v>
      </c>
      <c r="K9" s="15">
        <f>Datos_Log[[#TOTALS],[X²]]</f>
        <v>1202.756684</v>
      </c>
      <c r="L9" s="53" t="s">
        <v>27</v>
      </c>
      <c r="M9" s="40">
        <f>Datos_Log[[#TOTALS],[X=ln(x)]]</f>
        <v>98.08494193</v>
      </c>
      <c r="N9" s="15" t="s">
        <v>31</v>
      </c>
      <c r="O9" s="40">
        <f>Datos_Log[[#TOTALS],[y]]/8</f>
        <v>53.625</v>
      </c>
      <c r="P9" s="53" t="s">
        <v>30</v>
      </c>
      <c r="Q9" s="52" t="s">
        <v>26</v>
      </c>
      <c r="R9" s="40">
        <f>Datos_Log[[#TOTALS],[X=ln(x)]]/8</f>
        <v>12.26061774</v>
      </c>
      <c r="S9" s="53" t="s">
        <v>29</v>
      </c>
      <c r="T9" s="40">
        <f>Datos_Log[[#TOTALS],[X.Y]]</f>
        <v>5270.477816</v>
      </c>
    </row>
    <row r="10" ht="22.5" customHeight="1">
      <c r="A10" s="48">
        <f>SUM(Datos_Log[x])</f>
        <v>1708000</v>
      </c>
      <c r="B10" s="55">
        <f>SUM(Datos_Log[y])</f>
        <v>429</v>
      </c>
      <c r="C10" s="50">
        <f>SUM(Datos_Log[X=ln(x)])</f>
        <v>98.08494193</v>
      </c>
      <c r="D10" s="50">
        <f>SUM(Datos_Log[X²])</f>
        <v>1202.756684</v>
      </c>
      <c r="E10" s="50">
        <f>SUM(Datos_Log[X.Y])</f>
        <v>5270.477816</v>
      </c>
      <c r="F10" s="51">
        <f>SUM(Datos_Log[P(x)])</f>
        <v>429</v>
      </c>
      <c r="G10" s="50">
        <f>SUM(Datos_Log[d])</f>
        <v>37.36234497</v>
      </c>
      <c r="H10" s="50">
        <f>SUM(Datos_Log[d²])</f>
        <v>241.8670488</v>
      </c>
    </row>
    <row r="11" ht="25.5" customHeight="1">
      <c r="A11" s="56" t="s">
        <v>32</v>
      </c>
      <c r="B11" s="56" t="s">
        <v>33</v>
      </c>
      <c r="C11" s="56" t="s">
        <v>20</v>
      </c>
      <c r="H11" s="40">
        <f>SQRT(Datos_Log[[#TOTALS],[d²]]/8)</f>
        <v>5.498488983</v>
      </c>
      <c r="K11" s="52" t="s">
        <v>26</v>
      </c>
      <c r="L11" s="15">
        <f>Datos_Log[[#TOTALS],[X²]]</f>
        <v>1202.756684</v>
      </c>
      <c r="M11" s="53" t="s">
        <v>27</v>
      </c>
      <c r="N11" s="40">
        <f>M9*O9</f>
        <v>5259.805011</v>
      </c>
      <c r="O11" s="53" t="s">
        <v>30</v>
      </c>
      <c r="P11" s="40">
        <f>M9*R9</f>
        <v>1202.581979</v>
      </c>
      <c r="Q11" s="52" t="s">
        <v>26</v>
      </c>
      <c r="R11" s="53" t="s">
        <v>29</v>
      </c>
      <c r="S11" s="40">
        <f>Datos_Log[[#TOTALS],[X.Y]]</f>
        <v>5270.477816</v>
      </c>
    </row>
    <row r="13">
      <c r="K13" s="52" t="s">
        <v>26</v>
      </c>
      <c r="L13" s="40">
        <f>L11-P11</f>
        <v>0.1747045531</v>
      </c>
      <c r="M13" s="53" t="s">
        <v>29</v>
      </c>
      <c r="N13" s="40">
        <f>S11-N11</f>
        <v>10.67280459</v>
      </c>
    </row>
    <row r="14">
      <c r="L14" s="52" t="s">
        <v>26</v>
      </c>
      <c r="M14" s="53" t="s">
        <v>29</v>
      </c>
      <c r="N14" s="40">
        <f>N13/L13</f>
        <v>61.09059207</v>
      </c>
    </row>
    <row r="15">
      <c r="L15" s="54" t="s">
        <v>28</v>
      </c>
      <c r="M15" s="53" t="s">
        <v>29</v>
      </c>
      <c r="N15" s="40">
        <f>P6-(S6*N14)</f>
        <v>-695.3833969</v>
      </c>
    </row>
    <row r="20">
      <c r="K20" s="40">
        <f>SLOPE(Datos_Log[y],Datos_Log[X=ln(x)])</f>
        <v>61.09059207</v>
      </c>
    </row>
    <row r="21">
      <c r="K21" s="40">
        <f>INTERCEPT(Datos_Log[y],Datos_Log[X=ln(x)])</f>
        <v>-695.3833969</v>
      </c>
    </row>
    <row r="22">
      <c r="K22" s="57">
        <f>RSQ(Datos_Log[y],Datos_Log[x])</f>
        <v>0.6995915026</v>
      </c>
    </row>
    <row r="23">
      <c r="K23" s="40" t="str">
        <f>1-SUM((B2:B9-F2:F9)^2)/SUM((B2:B9-AVERAGE(B2:B9))^2)</f>
        <v>#VALUE!</v>
      </c>
    </row>
    <row r="24">
      <c r="K24" s="40">
        <f>RSQ(Datos_Log[y],Datos_Log[X=ln(x)])</f>
        <v>0.7294173695</v>
      </c>
    </row>
  </sheetData>
  <dataValidations>
    <dataValidation type="custom" allowBlank="1" showDropDown="1" sqref="A2:A9 F2:F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